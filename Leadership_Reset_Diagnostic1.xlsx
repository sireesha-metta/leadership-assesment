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iagnostic" sheetId="2" r:id="rId5"/>
    <sheet state="visible" name="Scores" sheetId="3" r:id="rId6"/>
    <sheet state="visible" name="Debrief Framework" sheetId="4" r:id="rId7"/>
  </sheets>
  <definedNames/>
  <calcPr/>
  <extLst>
    <ext uri="GoogleSheetsCustomDataVersion2">
      <go:sheetsCustomData xmlns:go="http://customooxmlschemas.google.com/" r:id="rId8" roundtripDataChecksum="rsy+O4vcEj0MtZM11quMyQ7gl9OjKcE+wqZNf2mavD8="/>
    </ext>
  </extLst>
</workbook>
</file>

<file path=xl/sharedStrings.xml><?xml version="1.0" encoding="utf-8"?>
<sst xmlns="http://schemas.openxmlformats.org/spreadsheetml/2006/main" count="112" uniqueCount="111">
  <si>
    <t>LEAN IN COACHING  ·  Leadership Reset Diagnostic</t>
  </si>
  <si>
    <t>SCORING ENGINE  (do not edit this sheet)</t>
  </si>
  <si>
    <t xml:space="preserve">This is Intellectual Property of Lean IN Coaching
Not to be shared with anyone outside of this development relationship.
</t>
  </si>
  <si>
    <t>LEAN IN COACHING  ·  Leadership Reset — Debrief Framework</t>
  </si>
  <si>
    <t>Complete this diagnostic before the Leadership Reset session. Answers are confidential and used only to shape the conversation and observation.
Return via email to: Lorraine@Leanin-coaching.com</t>
  </si>
  <si>
    <t>Answer text</t>
  </si>
  <si>
    <t>Use this framework to structure the debrief after the diagnostic conversation and/or observation session.</t>
  </si>
  <si>
    <t>Score</t>
  </si>
  <si>
    <t>Q row (Diag)</t>
  </si>
  <si>
    <t>Weighted score (raw)</t>
  </si>
  <si>
    <t>Zone / Score</t>
  </si>
  <si>
    <t>Question</t>
  </si>
  <si>
    <t>Answer options  (select one)</t>
  </si>
  <si>
    <t>What it suggests</t>
  </si>
  <si>
    <t>Debrief talking points</t>
  </si>
  <si>
    <t>Recommended reset focus</t>
  </si>
  <si>
    <t>Your answer
↓ select below</t>
  </si>
  <si>
    <t>Score
(auto)</t>
  </si>
  <si>
    <t>GREEN
75–100% of max
Strong foundation</t>
  </si>
  <si>
    <t>Weight</t>
  </si>
  <si>
    <t>The leader has good self-awareness of how decisions are made. Conversations are reasonably healthy. Challenge exists. Expertise is broadly heard.</t>
  </si>
  <si>
    <t>DECISION MAKING</t>
  </si>
  <si>
    <t>• Affirm what's working — name it specifically
• Explore the 1–2 areas where scores dipped
• Ask: 'Where do you think the ceiling is — what would excellent look like?'
• Surface any gap between self-perception and observation</t>
  </si>
  <si>
    <t>Fine-tuning: target 1 specific conversation pattern. Often the highest-value work here is about the leader's own signals — even strong teams adjust to senior cues.</t>
  </si>
  <si>
    <t>AMBER
50–74% of max
Patterns worth exploring</t>
  </si>
  <si>
    <t>Some conversation patterns are limiting decision quality. The leader may be partially aware — but not seeing the full picture. Expertise is present but not reliably surfacing.</t>
  </si>
  <si>
    <t>• Open with curiosity: 'What did you notice completing this?'
• Name the pattern without blame: 'What I see in a lot of leadership teams is...'
• Use the Stasser &amp; Titus research: groups over-discuss shared info, under-discuss unique knowledge
• Ask: 'Who in your team has a view that rarely makes it into the discussion?'</t>
  </si>
  <si>
    <t>Core reset: two or three structural shifts to the conversation — who speaks first, when the leader signals, how expertise is explicitly invited in.</t>
  </si>
  <si>
    <t>RED
&lt; 50% of max
Significant blind spots</t>
  </si>
  <si>
    <t>The same voices dominate. Challenge is limited or avoided. The leader's signals are closing down discussion before all thinking is in. Corridor conversations differ markedly from the room.</t>
  </si>
  <si>
    <t>• Lead with data, not judgement: 'Here's what the pattern looks like from the outside'
• Introduce psychological safety framing (Edmondson): it's not about comfort, it's about perceived cost of speaking
• Name the HiPPO effect — the leader often doesn't know they're doing it
• The most powerful moment: replay what you observed. Let them see it.</t>
  </si>
  <si>
    <t>Full reset: observation of a live discussion, structured reflection, 2–3 explicit behavioural shifts. Consider pre-work — asking individuals to write their view before the group discusses.</t>
  </si>
  <si>
    <t>When your team discusses a decision, who typically speaks first?</t>
  </si>
  <si>
    <t>A. It varies — different people lead depending on the topic
B. Usually the most senior person in the room
C. The same 1–2 people, regardless of topic
D. I'm not sure — I haven't noticed a pattern</t>
  </si>
  <si>
    <t>It varies — different people lead depending on the topic</t>
  </si>
  <si>
    <t>Max possible score</t>
  </si>
  <si>
    <t>Usually the most senior person in the room</t>
  </si>
  <si>
    <t>Zone label</t>
  </si>
  <si>
    <t>Think of a recent decision where something important emerged after the fact. What do you think stopped it surfacing in the room?</t>
  </si>
  <si>
    <t>A. There wasn't really an opportunity to raise it
B. The person who knew held back — I'm not sure why
C. The discussion closed before all views were heard
D. I don't think that has happened recently</t>
  </si>
  <si>
    <t>The same 1–2 people, regardless of topic</t>
  </si>
  <si>
    <t>% of max</t>
  </si>
  <si>
    <t>How would you describe the pace of decisions in your leadership meetings?</t>
  </si>
  <si>
    <t>A. We move fast — sometimes too fast
B. We sometimes revisit decisions that should have been settled
C. About right — we close when we need to
D. Decisions often drift without a clear close</t>
  </si>
  <si>
    <t>I'm not sure — I haven't noticed a pattern</t>
  </si>
  <si>
    <t>There wasn't really an opportunity to raise it</t>
  </si>
  <si>
    <t>The person who knew held back — I'm not sure why</t>
  </si>
  <si>
    <t>The discussion closed before all views were heard</t>
  </si>
  <si>
    <t>I don't think that has happened recently</t>
  </si>
  <si>
    <t>Are there people in your team you know have strong views but rarely voice them in meetings?</t>
  </si>
  <si>
    <t>A. Yes — several people
B. One or two, yes
C. Not really — people speak up if they have something to say
D. I'm honestly not sure</t>
  </si>
  <si>
    <t>We move fast — sometimes too fast</t>
  </si>
  <si>
    <t>We sometimes revisit decisions that should have been settled</t>
  </si>
  <si>
    <t>About right — we close when we need to</t>
  </si>
  <si>
    <t>Decisions often drift without a clear close</t>
  </si>
  <si>
    <t>Yes — several people</t>
  </si>
  <si>
    <t>One or two, yes</t>
  </si>
  <si>
    <t>Not really — people speak up if they have something to say</t>
  </si>
  <si>
    <t>I'm honestly not sure</t>
  </si>
  <si>
    <t>CONVERSATION PATTERNS</t>
  </si>
  <si>
    <t>A wide range of people — challenge is distributed</t>
  </si>
  <si>
    <t>Usually the same 1–2 people</t>
  </si>
  <si>
    <t>Rarely anyone — we tend to align fairly quickly</t>
  </si>
  <si>
    <t>Who challenges in your leadership meetings?</t>
  </si>
  <si>
    <t>A. A wide range of people — challenge is distributed
B. Usually the same 1–2 people
C. Rarely anyone — we tend to align fairly quickly
D. It depends on the topic</t>
  </si>
  <si>
    <t>It depends on the topic</t>
  </si>
  <si>
    <t>The challenge is taken seriously and explored</t>
  </si>
  <si>
    <t>The original view usually prevails anyway</t>
  </si>
  <si>
    <t>It creates tension — challenge feels uncomfortable</t>
  </si>
  <si>
    <t>Mixed — depends on who's challenging and who's being challenged</t>
  </si>
  <si>
    <t>Yes — a few clear ones</t>
  </si>
  <si>
    <t>Maybe one or two — I haven't thought about it much</t>
  </si>
  <si>
    <t>Not that I'm aware of</t>
  </si>
  <si>
    <t>Possibly, but I'd need to reflect more</t>
  </si>
  <si>
    <t>When someone does push back in a discussion, how does the room typically respond?</t>
  </si>
  <si>
    <t>A. The challenge is taken seriously and explored
B. The original view usually prevails anyway
C. It creates tension — challenge feels uncomfortable
D. Mixed — depends on who's challenging and who's being challenged</t>
  </si>
  <si>
    <t>Yes — fairly regularly</t>
  </si>
  <si>
    <t>Occasionally</t>
  </si>
  <si>
    <t>Rarely or never</t>
  </si>
  <si>
    <t>I'm not sure — it doesn't come to my attention</t>
  </si>
  <si>
    <t>The conversation converges toward my view fairly quickly</t>
  </si>
  <si>
    <t>People still push back and explore alternatives</t>
  </si>
  <si>
    <t>I try not to signal early — I hold back deliberately</t>
  </si>
  <si>
    <t>I'm not sure how the room responds to my signals</t>
  </si>
  <si>
    <t>Are there topics in your leadership discussions that feel quietly off-limits — where challenge just doesn't happen?</t>
  </si>
  <si>
    <t>Mostly the most knowledgeable — they tend to be heard</t>
  </si>
  <si>
    <t>A. Yes — a few clear ones
B. Maybe one or two — I haven't thought about it much
C. Not that I'm aware of
D. Possibly, but I'd need to reflect more</t>
  </si>
  <si>
    <t>Honestly, more often the most comfortable speakers</t>
  </si>
  <si>
    <t>A mix — it varies by topic</t>
  </si>
  <si>
    <t>I'm not sure I can separate the two</t>
  </si>
  <si>
    <t>I call it — make the decision and move on</t>
  </si>
  <si>
    <t>I try to surface what's blocking the conversation first</t>
  </si>
  <si>
    <t>I ask someone specific to give their view</t>
  </si>
  <si>
    <t>I escalate or defer to a smaller group</t>
  </si>
  <si>
    <t>More people contributing their thinking earlier</t>
  </si>
  <si>
    <t>Faster closure — we over-discuss</t>
  </si>
  <si>
    <t>After meetings, do you hear different views from people in the corridor to what was said in the room?</t>
  </si>
  <si>
    <t>Better challenge — views go untested</t>
  </si>
  <si>
    <t>A. Yes — fairly regularly
B. Occasionally
C. Rarely or never
D. I'm not sure — it doesn't come to my attention</t>
  </si>
  <si>
    <t>More confidence in the room — people hold back</t>
  </si>
  <si>
    <t>LEADER SIGNALS</t>
  </si>
  <si>
    <t>When you signal your own view early in a discussion, what tends to happen?</t>
  </si>
  <si>
    <t>A. The conversation converges toward my view fairly quickly
B. People still push back and explore alternatives
C. I try not to signal early — I hold back deliberately
D. I'm not sure how the room responds to my signals</t>
  </si>
  <si>
    <t>Do you feel you hear from the people with the most relevant knowledge, or those most comfortable speaking?</t>
  </si>
  <si>
    <t>A. Mostly the most knowledgeable — they tend to be heard
B. Honestly, more often the most comfortable speakers
C. A mix — it varies by topic
D. I'm not sure I can separate the two</t>
  </si>
  <si>
    <t>When a discussion goes in circles, what is your instinct?</t>
  </si>
  <si>
    <t>A. I call it — make the decision and move on
B. I try to surface what's blocking the conversation first
C. I ask someone specific to give their view
D. I escalate or defer to a smaller group</t>
  </si>
  <si>
    <t>If you could change one thing about how your team makes complex decisions, what would it be?</t>
  </si>
  <si>
    <t>A. More people contributing their thinking earlier
B. Faster closure — we over-discuss
C. Better challenge — views go untested
D. More confidence in the room — people hold back</t>
  </si>
  <si>
    <t>TOTAL WEIGHTED SCORE</t>
  </si>
  <si>
    <t>/ 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</si>
</sst>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3.0"/>
      <color rgb="FFC9A84C"/>
      <name val="Arial"/>
    </font>
    <font>
      <b/>
      <sz val="14.0"/>
      <color rgb="FFC9A84C"/>
      <name val="Arial"/>
    </font>
    <font>
      <sz val="24.0"/>
      <color rgb="FFC8A85B"/>
      <name val="Calibri"/>
    </font>
    <font/>
    <font>
      <b/>
      <sz val="11.0"/>
      <color rgb="FFC9A84C"/>
      <name val="Arial"/>
    </font>
    <font>
      <i/>
      <sz val="9.0"/>
      <color rgb="FFE8C97A"/>
      <name val="Arial"/>
    </font>
    <font>
      <b/>
      <sz val="9.0"/>
      <color rgb="FFFFFFFF"/>
      <name val="Arial"/>
    </font>
    <font>
      <b/>
      <sz val="10.0"/>
      <color rgb="FF1A1A1A"/>
      <name val="Arial"/>
    </font>
    <font>
      <b/>
      <sz val="10.0"/>
      <color rgb="FFFFFFFF"/>
      <name val="Arial"/>
    </font>
    <font>
      <b/>
      <sz val="10.0"/>
      <color rgb="FF2E7D32"/>
      <name val="Arial"/>
    </font>
    <font>
      <sz val="9.0"/>
      <color rgb="FF1A1A1A"/>
      <name val="Arial"/>
    </font>
    <font>
      <b/>
      <sz val="9.0"/>
      <color rgb="FFC9A84C"/>
      <name val="Arial"/>
    </font>
    <font>
      <b/>
      <sz val="10.0"/>
      <color rgb="FF8B6914"/>
      <name val="Arial"/>
    </font>
    <font>
      <b/>
      <sz val="10.0"/>
      <color rgb="FFC0392B"/>
      <name val="Arial"/>
    </font>
    <font>
      <i/>
      <sz val="9.0"/>
      <color rgb="FFAAAAAA"/>
      <name val="Arial"/>
    </font>
    <font>
      <sz val="8.0"/>
      <color theme="1"/>
      <name val="Arial"/>
    </font>
    <font>
      <b/>
      <sz val="10.0"/>
      <color theme="1"/>
      <name val="Arial"/>
    </font>
    <font>
      <b/>
      <sz val="12.0"/>
      <color rgb="FFC9A84C"/>
      <name val="Arial"/>
    </font>
    <font>
      <sz val="11.0"/>
      <color theme="1"/>
      <name val="Calibri"/>
    </font>
    <font>
      <b/>
      <sz val="10.0"/>
      <color rgb="FFE8C97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theme="1"/>
        <bgColor theme="1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DF3DC"/>
        <bgColor rgb="FFFDF3DC"/>
      </patternFill>
    </fill>
    <fill>
      <patternFill patternType="solid">
        <fgColor rgb="FFFDE8E8"/>
        <bgColor rgb="FFFDE8E8"/>
      </patternFill>
    </fill>
    <fill>
      <patternFill patternType="solid">
        <fgColor rgb="FFEEEEEE"/>
        <bgColor rgb="FFEEEEEE"/>
      </patternFill>
    </fill>
  </fills>
  <borders count="15">
    <border/>
    <border>
      <left/>
      <top/>
      <bottom/>
    </border>
    <border>
      <left/>
      <top/>
    </border>
    <border>
      <top/>
      <bottom/>
    </border>
    <border>
      <top/>
    </border>
    <border>
      <right/>
      <top/>
      <bottom/>
    </border>
    <border>
      <right/>
      <top/>
    </border>
    <border>
      <left/>
    </border>
    <border>
      <right/>
    </border>
    <border>
      <left/>
      <right/>
      <top/>
      <bottom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/>
      <bottom/>
    </border>
    <border>
      <bottom/>
    </border>
    <border>
      <right/>
      <bottom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2" fontId="5" numFmtId="0" xfId="0" applyAlignment="1" applyBorder="1" applyFill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2" fontId="6" numFmtId="0" xfId="0" applyAlignment="1" applyBorder="1" applyFill="1" applyFont="1">
      <alignment horizontal="left" shrinkToFit="0" vertical="center" wrapText="1"/>
    </xf>
    <xf borderId="9" fillId="2" fontId="7" numFmtId="0" xfId="0" applyBorder="1" applyFill="1" applyFont="1"/>
    <xf borderId="1" fillId="2" fontId="6" numFmtId="0" xfId="0" applyAlignment="1" applyBorder="1" applyFill="1" applyFont="1">
      <alignment horizontal="left" vertical="center"/>
    </xf>
    <xf borderId="9" fillId="4" fontId="8" numFmtId="0" xfId="0" applyBorder="1" applyFill="1" applyFont="1"/>
    <xf borderId="10" fillId="2" fontId="7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shrinkToFit="0" vertical="center" wrapText="1"/>
    </xf>
    <xf borderId="10" fillId="5" fontId="10" numFmtId="0" xfId="0" applyAlignment="1" applyBorder="1" applyFill="1" applyFont="1">
      <alignment horizontal="center" shrinkToFit="0" vertical="top" wrapText="1"/>
    </xf>
    <xf borderId="10" fillId="6" fontId="11" numFmtId="0" xfId="0" applyAlignment="1" applyBorder="1" applyFill="1" applyFont="1">
      <alignment horizontal="left" shrinkToFit="0" vertical="top" wrapText="1"/>
    </xf>
    <xf borderId="1" fillId="2" fontId="12" numFmtId="0" xfId="0" applyAlignment="1" applyBorder="1" applyFill="1" applyFont="1">
      <alignment horizontal="left" vertical="center"/>
    </xf>
    <xf borderId="10" fillId="7" fontId="13" numFmtId="0" xfId="0" applyAlignment="1" applyBorder="1" applyFill="1" applyFont="1">
      <alignment horizontal="center" shrinkToFit="0" vertical="top" wrapText="1"/>
    </xf>
    <xf borderId="11" fillId="0" fontId="4" numFmtId="0" xfId="0" applyBorder="1" applyFont="1"/>
    <xf borderId="10" fillId="8" fontId="14" numFmtId="0" xfId="0" applyAlignment="1" applyBorder="1" applyFill="1" applyFont="1">
      <alignment horizontal="center" shrinkToFit="0" vertical="top" wrapText="1"/>
    </xf>
    <xf borderId="12" fillId="0" fontId="4" numFmtId="0" xfId="0" applyBorder="1" applyFont="1"/>
    <xf borderId="9" fillId="2" fontId="12" numFmtId="0" xfId="0" applyAlignment="1" applyBorder="1" applyFill="1" applyFont="1">
      <alignment horizontal="center" vertical="top"/>
    </xf>
    <xf borderId="10" fillId="4" fontId="8" numFmtId="0" xfId="0" applyAlignment="1" applyBorder="1" applyFill="1" applyFont="1">
      <alignment horizontal="left" shrinkToFit="0" vertical="top" wrapText="1"/>
    </xf>
    <xf borderId="13" fillId="0" fontId="4" numFmtId="0" xfId="0" applyBorder="1" applyFont="1"/>
    <xf borderId="14" fillId="7" fontId="15" numFmtId="0" xfId="0" applyAlignment="1" applyBorder="1" applyFill="1" applyFont="1">
      <alignment horizontal="center" readingOrder="0" shrinkToFit="0" vertical="center" wrapText="1"/>
    </xf>
    <xf borderId="9" fillId="4" fontId="5" numFmtId="0" xfId="0" applyBorder="1" applyFill="1" applyFont="1"/>
    <xf borderId="0" fillId="0" fontId="16" numFmtId="0" xfId="0" applyFont="1"/>
    <xf borderId="9" fillId="4" fontId="11" numFmtId="0" xfId="0" applyBorder="1" applyFill="1" applyFont="1"/>
    <xf borderId="10" fillId="9" fontId="8" numFmtId="0" xfId="0" applyAlignment="1" applyBorder="1" applyFill="1" applyFont="1">
      <alignment horizontal="center" vertical="center"/>
    </xf>
    <xf borderId="10" fillId="9" fontId="11" numFmtId="0" xfId="0" applyAlignment="1" applyBorder="1" applyFill="1" applyFont="1">
      <alignment horizontal="center" vertical="center"/>
    </xf>
    <xf borderId="14" fillId="7" fontId="15" numFmtId="0" xfId="0" applyAlignment="1" applyBorder="1" applyFill="1" applyFont="1">
      <alignment horizontal="center" shrinkToFit="0" vertical="center" wrapText="1"/>
    </xf>
    <xf borderId="9" fillId="4" fontId="17" numFmtId="0" xfId="0" applyBorder="1" applyFill="1" applyFont="1"/>
    <xf borderId="9" fillId="4" fontId="11" numFmtId="9" xfId="0" applyBorder="1" applyFill="1" applyFont="1" applyNumberFormat="1"/>
    <xf borderId="1" fillId="2" fontId="9" numFmtId="0" xfId="0" applyAlignment="1" applyBorder="1" applyFill="1" applyFont="1">
      <alignment horizontal="right" vertical="center"/>
    </xf>
    <xf borderId="9" fillId="2" fontId="18" numFmtId="0" xfId="0" applyAlignment="1" applyBorder="1" applyFill="1" applyFont="1">
      <alignment horizontal="center" vertical="center"/>
    </xf>
    <xf borderId="9" fillId="2" fontId="19" numFmtId="0" xfId="0" applyBorder="1" applyFill="1" applyFont="1"/>
    <xf borderId="9" fillId="2" fontId="20" numFmtId="0" xfId="0" applyAlignment="1" applyBorder="1" applyFill="1" applyFont="1">
      <alignment horizontal="left" vertical="center"/>
    </xf>
    <xf borderId="1" fillId="2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>
      <c r="C4" s="3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</row>
    <row r="5" ht="14.25" customHeight="1">
      <c r="C5" s="9"/>
      <c r="P5" s="10"/>
    </row>
    <row r="6" ht="14.25" customHeight="1">
      <c r="C6" s="9"/>
      <c r="P6" s="10"/>
    </row>
    <row r="7" ht="14.25" customHeight="1">
      <c r="C7" s="9"/>
      <c r="P7" s="10"/>
    </row>
    <row r="8" ht="14.25" customHeight="1">
      <c r="C8" s="9"/>
      <c r="P8" s="10"/>
    </row>
    <row r="9" ht="14.25" customHeight="1">
      <c r="C9" s="9"/>
      <c r="P9" s="10"/>
    </row>
    <row r="10" ht="14.25" customHeight="1">
      <c r="C10" s="9"/>
      <c r="P10" s="10"/>
    </row>
    <row r="11" ht="14.25" customHeight="1">
      <c r="C11" s="9"/>
      <c r="P11" s="10"/>
    </row>
    <row r="12" ht="14.25" customHeight="1">
      <c r="C12" s="9"/>
      <c r="P12" s="10"/>
    </row>
    <row r="13" ht="14.25" customHeight="1">
      <c r="C13" s="9"/>
      <c r="P13" s="10"/>
    </row>
    <row r="14" ht="14.25" customHeight="1">
      <c r="C14" s="9"/>
      <c r="P14" s="10"/>
    </row>
    <row r="15" ht="14.25" customHeight="1">
      <c r="C15" s="9"/>
      <c r="P15" s="10"/>
    </row>
    <row r="16" ht="14.25" customHeight="1">
      <c r="C16" s="9"/>
      <c r="P16" s="10"/>
    </row>
    <row r="17" ht="14.25" customHeight="1">
      <c r="C17" s="9"/>
      <c r="P17" s="10"/>
    </row>
    <row r="18" ht="14.25" customHeight="1">
      <c r="C18" s="9"/>
      <c r="P18" s="10"/>
    </row>
    <row r="19" ht="14.25" customHeight="1">
      <c r="C19" s="9"/>
      <c r="P19" s="10"/>
    </row>
    <row r="20" ht="14.25" customHeight="1">
      <c r="C20" s="9"/>
      <c r="P20" s="10"/>
    </row>
    <row r="21" ht="14.25" customHeight="1">
      <c r="C21" s="9"/>
      <c r="P21" s="10"/>
    </row>
    <row r="22" ht="14.25" customHeight="1">
      <c r="C22" s="9"/>
      <c r="P22" s="10"/>
    </row>
    <row r="23" ht="14.25" customHeight="1">
      <c r="C23" s="9"/>
      <c r="P23" s="10"/>
    </row>
    <row r="24" ht="14.25" customHeight="1">
      <c r="C24" s="9"/>
      <c r="P24" s="10"/>
    </row>
    <row r="25" ht="14.25" customHeight="1">
      <c r="C25" s="9"/>
      <c r="P25" s="10"/>
    </row>
    <row r="26" ht="14.25" customHeight="1">
      <c r="C26" s="9"/>
      <c r="P26" s="10"/>
    </row>
    <row r="27" ht="14.25" customHeight="1">
      <c r="C27" s="21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4:P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44.0"/>
    <col customWidth="1" min="4" max="4" width="18.0"/>
    <col customWidth="1" min="5" max="5" width="12.0"/>
    <col customWidth="1" min="6" max="6" width="10.0"/>
    <col customWidth="1" min="7" max="26" width="8.71"/>
  </cols>
  <sheetData>
    <row r="1" ht="37.5" customHeight="1">
      <c r="A1" s="2" t="s">
        <v>0</v>
      </c>
      <c r="B1" s="4"/>
      <c r="C1" s="4"/>
      <c r="D1" s="4"/>
      <c r="E1" s="4"/>
      <c r="F1" s="6"/>
    </row>
    <row r="2" ht="58.5" customHeight="1">
      <c r="A2" s="11" t="s">
        <v>4</v>
      </c>
      <c r="B2" s="4"/>
      <c r="C2" s="4"/>
      <c r="D2" s="4"/>
      <c r="E2" s="4"/>
      <c r="F2" s="6"/>
    </row>
    <row r="3" ht="7.5" customHeight="1"/>
    <row r="4" ht="30.0" customHeight="1">
      <c r="A4" s="15"/>
      <c r="B4" s="15" t="s">
        <v>11</v>
      </c>
      <c r="C4" s="15" t="s">
        <v>12</v>
      </c>
      <c r="D4" s="15" t="s">
        <v>16</v>
      </c>
      <c r="E4" s="15" t="s">
        <v>17</v>
      </c>
      <c r="F4" s="15" t="s">
        <v>19</v>
      </c>
    </row>
    <row r="5" ht="7.5" customHeight="1"/>
    <row r="6" ht="21.75" customHeight="1">
      <c r="A6" s="19" t="s">
        <v>21</v>
      </c>
      <c r="B6" s="4"/>
      <c r="C6" s="4"/>
      <c r="D6" s="4"/>
      <c r="E6" s="4"/>
      <c r="F6" s="6"/>
    </row>
    <row r="7" ht="72.0" customHeight="1">
      <c r="A7" s="24">
        <v>1.0</v>
      </c>
      <c r="B7" s="25" t="s">
        <v>32</v>
      </c>
      <c r="C7" s="18" t="s">
        <v>33</v>
      </c>
      <c r="D7" s="27" t="s">
        <v>34</v>
      </c>
      <c r="E7" s="31">
        <f t="array" ref="E7">IFERROR(INDEX(Scores!$G$2:$G$5,MATCH(Diagnostic!D7,Scores!$F$2:$F$5,0))*2,"")</f>
        <v>8</v>
      </c>
      <c r="F7" s="32">
        <v>2.0</v>
      </c>
    </row>
    <row r="8" ht="72.0" customHeight="1">
      <c r="A8" s="24">
        <v>2.0</v>
      </c>
      <c r="B8" s="25" t="s">
        <v>38</v>
      </c>
      <c r="C8" s="18" t="s">
        <v>39</v>
      </c>
      <c r="D8" s="33"/>
      <c r="E8" s="31" t="str">
        <f t="array" ref="E8">IFERROR(INDEX(Scores!$G$6:$G$9,MATCH(Diagnostic!D8,Scores!$F$6:$F$9,0))*2,"")</f>
        <v/>
      </c>
      <c r="F8" s="32">
        <v>2.0</v>
      </c>
    </row>
    <row r="9" ht="72.0" customHeight="1">
      <c r="A9" s="24">
        <v>3.0</v>
      </c>
      <c r="B9" s="25" t="s">
        <v>42</v>
      </c>
      <c r="C9" s="18" t="s">
        <v>43</v>
      </c>
      <c r="D9" s="33"/>
      <c r="E9" s="31" t="str">
        <f t="array" ref="E9">IFERROR(INDEX(Scores!$G$10:$G$13,MATCH(Diagnostic!D9,Scores!$F$10:$F$13,0))*1,"")</f>
        <v/>
      </c>
      <c r="F9" s="32">
        <v>1.0</v>
      </c>
    </row>
    <row r="10" ht="72.0" customHeight="1">
      <c r="A10" s="24">
        <v>4.0</v>
      </c>
      <c r="B10" s="25" t="s">
        <v>49</v>
      </c>
      <c r="C10" s="18" t="s">
        <v>50</v>
      </c>
      <c r="D10" s="33"/>
      <c r="E10" s="31" t="str">
        <f t="array" ref="E10">IFERROR(INDEX(Scores!$G$14:$G$17,MATCH(Diagnostic!D10,Scores!$F$14:$F$17,0))*2,"")</f>
        <v/>
      </c>
      <c r="F10" s="32">
        <v>2.0</v>
      </c>
    </row>
    <row r="11" ht="7.5" customHeight="1"/>
    <row r="12" ht="21.75" customHeight="1">
      <c r="A12" s="19" t="s">
        <v>59</v>
      </c>
      <c r="B12" s="4"/>
      <c r="C12" s="4"/>
      <c r="D12" s="4"/>
      <c r="E12" s="4"/>
      <c r="F12" s="6"/>
    </row>
    <row r="13" ht="72.0" customHeight="1">
      <c r="A13" s="24">
        <v>5.0</v>
      </c>
      <c r="B13" s="25" t="s">
        <v>63</v>
      </c>
      <c r="C13" s="18" t="s">
        <v>64</v>
      </c>
      <c r="D13" s="33"/>
      <c r="E13" s="31" t="str">
        <f t="array" ref="E13">IFERROR(INDEX(Scores!$G$18:$G$21,MATCH(Diagnostic!D13,Scores!$F$18:$F$21,0))*2,"")</f>
        <v/>
      </c>
      <c r="F13" s="32">
        <v>2.0</v>
      </c>
    </row>
    <row r="14" ht="72.0" customHeight="1">
      <c r="A14" s="24">
        <v>6.0</v>
      </c>
      <c r="B14" s="25" t="s">
        <v>74</v>
      </c>
      <c r="C14" s="18" t="s">
        <v>75</v>
      </c>
      <c r="D14" s="33"/>
      <c r="E14" s="31" t="str">
        <f t="array" ref="E14">IFERROR(INDEX(Scores!$G$22:$G$25,MATCH(Diagnostic!D14,Scores!$F$22:$F$25,0))*2,"")</f>
        <v/>
      </c>
      <c r="F14" s="32">
        <v>2.0</v>
      </c>
    </row>
    <row r="15" ht="72.0" customHeight="1">
      <c r="A15" s="24">
        <v>7.0</v>
      </c>
      <c r="B15" s="25" t="s">
        <v>84</v>
      </c>
      <c r="C15" s="18" t="s">
        <v>86</v>
      </c>
      <c r="D15" s="33"/>
      <c r="E15" s="31" t="str">
        <f t="array" ref="E15">IFERROR(INDEX(Scores!$G$26:$G$29,MATCH(Diagnostic!D15,Scores!$F$26:$F$29,0))*1,"")</f>
        <v/>
      </c>
      <c r="F15" s="32">
        <v>1.0</v>
      </c>
    </row>
    <row r="16" ht="72.0" customHeight="1">
      <c r="A16" s="24">
        <v>8.0</v>
      </c>
      <c r="B16" s="25" t="s">
        <v>96</v>
      </c>
      <c r="C16" s="18" t="s">
        <v>98</v>
      </c>
      <c r="D16" s="33"/>
      <c r="E16" s="31" t="str">
        <f t="array" ref="E16">IFERROR(INDEX(Scores!$G$30:$G$33,MATCH(Diagnostic!D16,Scores!$F$30:$F$33,0))*2,"")</f>
        <v/>
      </c>
      <c r="F16" s="32">
        <v>2.0</v>
      </c>
    </row>
    <row r="17" ht="7.5" customHeight="1"/>
    <row r="18" ht="21.75" customHeight="1">
      <c r="A18" s="19" t="s">
        <v>100</v>
      </c>
      <c r="B18" s="4"/>
      <c r="C18" s="4"/>
      <c r="D18" s="4"/>
      <c r="E18" s="4"/>
      <c r="F18" s="6"/>
    </row>
    <row r="19" ht="72.0" customHeight="1">
      <c r="A19" s="24">
        <v>9.0</v>
      </c>
      <c r="B19" s="25" t="s">
        <v>101</v>
      </c>
      <c r="C19" s="18" t="s">
        <v>102</v>
      </c>
      <c r="D19" s="33"/>
      <c r="E19" s="31" t="str">
        <f t="array" ref="E19">IFERROR(INDEX(Scores!$G$34:$G$37,MATCH(Diagnostic!D19,Scores!$F$34:$F$37,0))*3,"")</f>
        <v/>
      </c>
      <c r="F19" s="32">
        <v>3.0</v>
      </c>
    </row>
    <row r="20" ht="72.0" customHeight="1">
      <c r="A20" s="24">
        <v>10.0</v>
      </c>
      <c r="B20" s="25" t="s">
        <v>103</v>
      </c>
      <c r="C20" s="18" t="s">
        <v>104</v>
      </c>
      <c r="D20" s="33"/>
      <c r="E20" s="31" t="str">
        <f t="array" ref="E20">IFERROR(INDEX(Scores!$G$38:$G$41,MATCH(Diagnostic!D20,Scores!$F$38:$F$41,0))*3,"")</f>
        <v/>
      </c>
      <c r="F20" s="32">
        <v>3.0</v>
      </c>
    </row>
    <row r="21" ht="72.0" customHeight="1">
      <c r="A21" s="24">
        <v>11.0</v>
      </c>
      <c r="B21" s="25" t="s">
        <v>105</v>
      </c>
      <c r="C21" s="18" t="s">
        <v>106</v>
      </c>
      <c r="D21" s="33"/>
      <c r="E21" s="31" t="str">
        <f t="array" ref="E21">IFERROR(INDEX(Scores!$G$42:$G$45,MATCH(Diagnostic!D21,Scores!$F$42:$F$45,0))*2,"")</f>
        <v/>
      </c>
      <c r="F21" s="32">
        <v>2.0</v>
      </c>
    </row>
    <row r="22" ht="72.0" customHeight="1">
      <c r="A22" s="24">
        <v>12.0</v>
      </c>
      <c r="B22" s="25" t="s">
        <v>107</v>
      </c>
      <c r="C22" s="18" t="s">
        <v>108</v>
      </c>
      <c r="D22" s="33"/>
      <c r="E22" s="31" t="str">
        <f t="array" ref="E22">IFERROR(INDEX(Scores!$G$46:$G$49,MATCH(Diagnostic!D22,Scores!$F$46:$F$49,0))*1,"")</f>
        <v/>
      </c>
      <c r="F22" s="32">
        <v>1.0</v>
      </c>
    </row>
    <row r="23" ht="9.75" customHeight="1"/>
    <row r="24" ht="27.75" customHeight="1">
      <c r="A24" s="36" t="s">
        <v>109</v>
      </c>
      <c r="B24" s="4"/>
      <c r="C24" s="6"/>
      <c r="D24" s="37">
        <f>IFERROR(E7,0)+IFERROR(E8,0)+IFERROR(E9,0)+IFERROR(E10,0)+IFERROR(E13,0)+IFERROR(E14,0)+IFERROR(E15,0)+IFERROR(E16,0)+IFERROR(E19,0)+IFERROR(E20,0)+IFERROR(E21,0)+IFERROR(E22,0)</f>
        <v>8</v>
      </c>
      <c r="E24" s="38"/>
      <c r="F24" s="39" t="s">
        <v>110</v>
      </c>
    </row>
    <row r="25" ht="27.75" customHeight="1">
      <c r="A25" s="40" t="str">
        <f>Scores!B4</f>
        <v>Red — Significant blind spots present</v>
      </c>
      <c r="B25" s="4"/>
      <c r="C25" s="4"/>
      <c r="D25" s="4"/>
      <c r="E25" s="4"/>
      <c r="F25" s="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F1"/>
    <mergeCell ref="A2:F2"/>
    <mergeCell ref="A6:F6"/>
    <mergeCell ref="A12:F12"/>
    <mergeCell ref="A18:F18"/>
    <mergeCell ref="A24:C24"/>
    <mergeCell ref="A25:F25"/>
  </mergeCells>
  <dataValidations>
    <dataValidation type="list" allowBlank="1" sqref="D7">
      <formula1>Scores!$F$2:$F$5</formula1>
    </dataValidation>
    <dataValidation type="list" allowBlank="1" sqref="D9">
      <formula1>Scores!$F$10:$F$13</formula1>
    </dataValidation>
    <dataValidation type="list" allowBlank="1" sqref="D22">
      <formula1>Scores!$F$46:$F$49</formula1>
    </dataValidation>
    <dataValidation type="list" allowBlank="1" sqref="D19">
      <formula1>Scores!$F$34:$F$37</formula1>
    </dataValidation>
    <dataValidation type="list" allowBlank="1" sqref="D14">
      <formula1>Scores!$F$22:$F$25</formula1>
    </dataValidation>
    <dataValidation type="list" allowBlank="1" sqref="D13">
      <formula1>Scores!$F$18:$F$21</formula1>
    </dataValidation>
    <dataValidation type="list" allowBlank="1" sqref="D10">
      <formula1>Scores!$F$14:$F$17</formula1>
    </dataValidation>
    <dataValidation type="list" allowBlank="1" sqref="D21">
      <formula1>Scores!$F$42:$F$45</formula1>
    </dataValidation>
    <dataValidation type="list" allowBlank="1" sqref="D16">
      <formula1>Scores!$F$30:$F$33</formula1>
    </dataValidation>
    <dataValidation type="list" allowBlank="1" sqref="D8">
      <formula1>Scores!$F$6:$F$9</formula1>
    </dataValidation>
    <dataValidation type="list" allowBlank="1" sqref="D15">
      <formula1>Scores!$F$26:$F$29</formula1>
    </dataValidation>
    <dataValidation type="list" allowBlank="1" sqref="D20">
      <formula1>Scores!$F$38:$F$41</formula1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22.0"/>
    <col customWidth="1" min="4" max="4" width="40.0"/>
    <col customWidth="1" min="5" max="26" width="8.71"/>
  </cols>
  <sheetData>
    <row r="1" ht="30.0" customHeight="1">
      <c r="A1" s="7" t="s">
        <v>1</v>
      </c>
      <c r="B1" s="4"/>
      <c r="C1" s="4"/>
      <c r="D1" s="6"/>
      <c r="F1" s="12" t="s">
        <v>5</v>
      </c>
      <c r="G1" s="12" t="s">
        <v>7</v>
      </c>
      <c r="H1" s="12" t="s">
        <v>8</v>
      </c>
    </row>
    <row r="2" ht="14.25" customHeight="1">
      <c r="A2" s="14" t="s">
        <v>9</v>
      </c>
      <c r="B2" s="28">
        <f>IFERROR(Diagnostic!E7,0)+IFERROR(Diagnostic!E8,0)+IFERROR(Diagnostic!E9,0)+IFERROR(Diagnostic!E10,0)+IFERROR(Diagnostic!E13,0)+IFERROR(Diagnostic!E14,0)+IFERROR(Diagnostic!E15,0)+IFERROR(Diagnostic!E16,0)+IFERROR(Diagnostic!E19,0)+IFERROR(Diagnostic!E20,0)+IFERROR(Diagnostic!E21,0)+IFERROR(Diagnostic!E22,0)</f>
        <v>8</v>
      </c>
      <c r="F2" s="29" t="s">
        <v>34</v>
      </c>
      <c r="G2" s="29">
        <v>4.0</v>
      </c>
      <c r="H2" s="29">
        <v>7.0</v>
      </c>
    </row>
    <row r="3" ht="14.25" customHeight="1">
      <c r="A3" s="30" t="s">
        <v>35</v>
      </c>
      <c r="B3" s="30">
        <v>91.0</v>
      </c>
      <c r="F3" s="29" t="s">
        <v>36</v>
      </c>
      <c r="G3" s="29">
        <v>2.0</v>
      </c>
      <c r="H3" s="29">
        <v>7.0</v>
      </c>
    </row>
    <row r="4" ht="14.25" customHeight="1">
      <c r="A4" s="14" t="s">
        <v>37</v>
      </c>
      <c r="B4" s="34" t="str">
        <f>IF(B2="","—",IF(B2/91&gt;=0.75,"Green — Strong foundation",IF(B2/91&gt;=0.5,"Amber — Patterns worth exploring","Red — Significant blind spots present")))</f>
        <v>Red — Significant blind spots present</v>
      </c>
      <c r="F4" s="29" t="s">
        <v>40</v>
      </c>
      <c r="G4" s="29">
        <v>1.0</v>
      </c>
      <c r="H4" s="29">
        <v>7.0</v>
      </c>
    </row>
    <row r="5" ht="14.25" customHeight="1">
      <c r="A5" s="30" t="s">
        <v>41</v>
      </c>
      <c r="B5" s="35">
        <f>IFERROR(B2/91,"")</f>
        <v>0.08791208791</v>
      </c>
      <c r="F5" s="29" t="s">
        <v>44</v>
      </c>
      <c r="G5" s="29">
        <v>3.0</v>
      </c>
      <c r="H5" s="29">
        <v>7.0</v>
      </c>
    </row>
    <row r="6" ht="14.25" customHeight="1">
      <c r="F6" s="29" t="s">
        <v>45</v>
      </c>
      <c r="G6" s="29">
        <v>1.0</v>
      </c>
      <c r="H6" s="29">
        <v>8.0</v>
      </c>
    </row>
    <row r="7" ht="14.25" customHeight="1">
      <c r="F7" s="29" t="s">
        <v>46</v>
      </c>
      <c r="G7" s="29">
        <v>2.0</v>
      </c>
      <c r="H7" s="29">
        <v>8.0</v>
      </c>
    </row>
    <row r="8" ht="14.25" customHeight="1">
      <c r="F8" s="29" t="s">
        <v>47</v>
      </c>
      <c r="G8" s="29">
        <v>2.0</v>
      </c>
      <c r="H8" s="29">
        <v>8.0</v>
      </c>
    </row>
    <row r="9" ht="14.25" customHeight="1">
      <c r="F9" s="29" t="s">
        <v>48</v>
      </c>
      <c r="G9" s="29">
        <v>4.0</v>
      </c>
      <c r="H9" s="29">
        <v>8.0</v>
      </c>
    </row>
    <row r="10" ht="14.25" customHeight="1">
      <c r="F10" s="29" t="s">
        <v>51</v>
      </c>
      <c r="G10" s="29">
        <v>1.0</v>
      </c>
      <c r="H10" s="29">
        <v>9.0</v>
      </c>
    </row>
    <row r="11" ht="14.25" customHeight="1">
      <c r="F11" s="29" t="s">
        <v>52</v>
      </c>
      <c r="G11" s="29">
        <v>2.0</v>
      </c>
      <c r="H11" s="29">
        <v>9.0</v>
      </c>
    </row>
    <row r="12" ht="14.25" customHeight="1">
      <c r="F12" s="29" t="s">
        <v>53</v>
      </c>
      <c r="G12" s="29">
        <v>4.0</v>
      </c>
      <c r="H12" s="29">
        <v>9.0</v>
      </c>
    </row>
    <row r="13" ht="14.25" customHeight="1">
      <c r="F13" s="29" t="s">
        <v>54</v>
      </c>
      <c r="G13" s="29">
        <v>2.0</v>
      </c>
      <c r="H13" s="29">
        <v>9.0</v>
      </c>
    </row>
    <row r="14" ht="14.25" customHeight="1">
      <c r="F14" s="29" t="s">
        <v>55</v>
      </c>
      <c r="G14" s="29">
        <v>1.0</v>
      </c>
      <c r="H14" s="29">
        <v>10.0</v>
      </c>
    </row>
    <row r="15" ht="14.25" customHeight="1">
      <c r="F15" s="29" t="s">
        <v>56</v>
      </c>
      <c r="G15" s="29">
        <v>2.0</v>
      </c>
      <c r="H15" s="29">
        <v>10.0</v>
      </c>
    </row>
    <row r="16" ht="14.25" customHeight="1">
      <c r="F16" s="29" t="s">
        <v>57</v>
      </c>
      <c r="G16" s="29">
        <v>4.0</v>
      </c>
      <c r="H16" s="29">
        <v>10.0</v>
      </c>
    </row>
    <row r="17" ht="14.25" customHeight="1">
      <c r="F17" s="29" t="s">
        <v>58</v>
      </c>
      <c r="G17" s="29">
        <v>2.0</v>
      </c>
      <c r="H17" s="29">
        <v>10.0</v>
      </c>
    </row>
    <row r="18" ht="14.25" customHeight="1">
      <c r="F18" s="29" t="s">
        <v>60</v>
      </c>
      <c r="G18" s="29">
        <v>4.0</v>
      </c>
      <c r="H18" s="29">
        <v>13.0</v>
      </c>
    </row>
    <row r="19" ht="14.25" customHeight="1">
      <c r="F19" s="29" t="s">
        <v>61</v>
      </c>
      <c r="G19" s="29">
        <v>1.0</v>
      </c>
      <c r="H19" s="29">
        <v>13.0</v>
      </c>
    </row>
    <row r="20" ht="14.25" customHeight="1">
      <c r="F20" s="29" t="s">
        <v>62</v>
      </c>
      <c r="G20" s="29">
        <v>1.0</v>
      </c>
      <c r="H20" s="29">
        <v>13.0</v>
      </c>
    </row>
    <row r="21" ht="14.25" customHeight="1">
      <c r="F21" s="29" t="s">
        <v>65</v>
      </c>
      <c r="G21" s="29">
        <v>3.0</v>
      </c>
      <c r="H21" s="29">
        <v>13.0</v>
      </c>
    </row>
    <row r="22" ht="14.25" customHeight="1">
      <c r="F22" s="29" t="s">
        <v>66</v>
      </c>
      <c r="G22" s="29">
        <v>4.0</v>
      </c>
      <c r="H22" s="29">
        <v>14.0</v>
      </c>
    </row>
    <row r="23" ht="14.25" customHeight="1">
      <c r="F23" s="29" t="s">
        <v>67</v>
      </c>
      <c r="G23" s="29">
        <v>1.0</v>
      </c>
      <c r="H23" s="29">
        <v>14.0</v>
      </c>
    </row>
    <row r="24" ht="14.25" customHeight="1">
      <c r="F24" s="29" t="s">
        <v>68</v>
      </c>
      <c r="G24" s="29">
        <v>1.0</v>
      </c>
      <c r="H24" s="29">
        <v>14.0</v>
      </c>
    </row>
    <row r="25" ht="14.25" customHeight="1">
      <c r="F25" s="29" t="s">
        <v>69</v>
      </c>
      <c r="G25" s="29">
        <v>2.0</v>
      </c>
      <c r="H25" s="29">
        <v>14.0</v>
      </c>
    </row>
    <row r="26" ht="14.25" customHeight="1">
      <c r="F26" s="29" t="s">
        <v>70</v>
      </c>
      <c r="G26" s="29">
        <v>1.0</v>
      </c>
      <c r="H26" s="29">
        <v>15.0</v>
      </c>
    </row>
    <row r="27" ht="14.25" customHeight="1">
      <c r="F27" s="29" t="s">
        <v>71</v>
      </c>
      <c r="G27" s="29">
        <v>2.0</v>
      </c>
      <c r="H27" s="29">
        <v>15.0</v>
      </c>
    </row>
    <row r="28" ht="14.25" customHeight="1">
      <c r="F28" s="29" t="s">
        <v>72</v>
      </c>
      <c r="G28" s="29">
        <v>4.0</v>
      </c>
      <c r="H28" s="29">
        <v>15.0</v>
      </c>
    </row>
    <row r="29" ht="14.25" customHeight="1">
      <c r="F29" s="29" t="s">
        <v>73</v>
      </c>
      <c r="G29" s="29">
        <v>2.0</v>
      </c>
      <c r="H29" s="29">
        <v>15.0</v>
      </c>
    </row>
    <row r="30" ht="14.25" customHeight="1">
      <c r="F30" s="29" t="s">
        <v>76</v>
      </c>
      <c r="G30" s="29">
        <v>1.0</v>
      </c>
      <c r="H30" s="29">
        <v>16.0</v>
      </c>
    </row>
    <row r="31" ht="14.25" customHeight="1">
      <c r="F31" s="29" t="s">
        <v>77</v>
      </c>
      <c r="G31" s="29">
        <v>2.0</v>
      </c>
      <c r="H31" s="29">
        <v>16.0</v>
      </c>
    </row>
    <row r="32" ht="14.25" customHeight="1">
      <c r="F32" s="29" t="s">
        <v>78</v>
      </c>
      <c r="G32" s="29">
        <v>4.0</v>
      </c>
      <c r="H32" s="29">
        <v>16.0</v>
      </c>
    </row>
    <row r="33" ht="14.25" customHeight="1">
      <c r="F33" s="29" t="s">
        <v>79</v>
      </c>
      <c r="G33" s="29">
        <v>2.0</v>
      </c>
      <c r="H33" s="29">
        <v>16.0</v>
      </c>
    </row>
    <row r="34" ht="14.25" customHeight="1">
      <c r="F34" s="29" t="s">
        <v>80</v>
      </c>
      <c r="G34" s="29">
        <v>1.0</v>
      </c>
      <c r="H34" s="29">
        <v>19.0</v>
      </c>
    </row>
    <row r="35" ht="14.25" customHeight="1">
      <c r="F35" s="29" t="s">
        <v>81</v>
      </c>
      <c r="G35" s="29">
        <v>4.0</v>
      </c>
      <c r="H35" s="29">
        <v>19.0</v>
      </c>
    </row>
    <row r="36" ht="14.25" customHeight="1">
      <c r="F36" s="29" t="s">
        <v>82</v>
      </c>
      <c r="G36" s="29">
        <v>4.0</v>
      </c>
      <c r="H36" s="29">
        <v>19.0</v>
      </c>
    </row>
    <row r="37" ht="14.25" customHeight="1">
      <c r="F37" s="29" t="s">
        <v>83</v>
      </c>
      <c r="G37" s="29">
        <v>2.0</v>
      </c>
      <c r="H37" s="29">
        <v>19.0</v>
      </c>
    </row>
    <row r="38" ht="14.25" customHeight="1">
      <c r="F38" s="29" t="s">
        <v>85</v>
      </c>
      <c r="G38" s="29">
        <v>4.0</v>
      </c>
      <c r="H38" s="29">
        <v>20.0</v>
      </c>
    </row>
    <row r="39" ht="14.25" customHeight="1">
      <c r="F39" s="29" t="s">
        <v>87</v>
      </c>
      <c r="G39" s="29">
        <v>1.0</v>
      </c>
      <c r="H39" s="29">
        <v>20.0</v>
      </c>
    </row>
    <row r="40" ht="14.25" customHeight="1">
      <c r="F40" s="29" t="s">
        <v>88</v>
      </c>
      <c r="G40" s="29">
        <v>3.0</v>
      </c>
      <c r="H40" s="29">
        <v>20.0</v>
      </c>
    </row>
    <row r="41" ht="14.25" customHeight="1">
      <c r="F41" s="29" t="s">
        <v>89</v>
      </c>
      <c r="G41" s="29">
        <v>2.0</v>
      </c>
      <c r="H41" s="29">
        <v>20.0</v>
      </c>
    </row>
    <row r="42" ht="14.25" customHeight="1">
      <c r="F42" s="29" t="s">
        <v>90</v>
      </c>
      <c r="G42" s="29">
        <v>2.0</v>
      </c>
      <c r="H42" s="29">
        <v>21.0</v>
      </c>
    </row>
    <row r="43" ht="14.25" customHeight="1">
      <c r="F43" s="29" t="s">
        <v>91</v>
      </c>
      <c r="G43" s="29">
        <v>4.0</v>
      </c>
      <c r="H43" s="29">
        <v>21.0</v>
      </c>
    </row>
    <row r="44" ht="14.25" customHeight="1">
      <c r="F44" s="29" t="s">
        <v>92</v>
      </c>
      <c r="G44" s="29">
        <v>3.0</v>
      </c>
      <c r="H44" s="29">
        <v>21.0</v>
      </c>
    </row>
    <row r="45" ht="14.25" customHeight="1">
      <c r="F45" s="29" t="s">
        <v>93</v>
      </c>
      <c r="G45" s="29">
        <v>1.0</v>
      </c>
      <c r="H45" s="29">
        <v>21.0</v>
      </c>
    </row>
    <row r="46" ht="14.25" customHeight="1">
      <c r="F46" s="29" t="s">
        <v>94</v>
      </c>
      <c r="G46" s="29">
        <v>3.0</v>
      </c>
      <c r="H46" s="29">
        <v>22.0</v>
      </c>
    </row>
    <row r="47" ht="14.25" customHeight="1">
      <c r="F47" s="29" t="s">
        <v>95</v>
      </c>
      <c r="G47" s="29">
        <v>2.0</v>
      </c>
      <c r="H47" s="29">
        <v>22.0</v>
      </c>
    </row>
    <row r="48" ht="14.25" customHeight="1">
      <c r="F48" s="29" t="s">
        <v>97</v>
      </c>
      <c r="G48" s="29">
        <v>3.0</v>
      </c>
      <c r="H48" s="29">
        <v>22.0</v>
      </c>
    </row>
    <row r="49" ht="14.25" customHeight="1">
      <c r="F49" s="29" t="s">
        <v>99</v>
      </c>
      <c r="G49" s="29">
        <v>3.0</v>
      </c>
      <c r="H49" s="29">
        <v>22.0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42.0"/>
    <col customWidth="1" min="4" max="4" width="36.0"/>
    <col customWidth="1" min="5" max="26" width="8.71"/>
  </cols>
  <sheetData>
    <row r="1" ht="36.0" customHeight="1">
      <c r="A1" s="1" t="s">
        <v>3</v>
      </c>
      <c r="B1" s="4"/>
      <c r="C1" s="4"/>
      <c r="D1" s="6"/>
    </row>
    <row r="2" ht="19.5" customHeight="1">
      <c r="A2" s="13" t="s">
        <v>6</v>
      </c>
      <c r="B2" s="4"/>
      <c r="C2" s="4"/>
      <c r="D2" s="6"/>
    </row>
    <row r="3" ht="9.75" customHeight="1"/>
    <row r="4" ht="27.75" customHeight="1">
      <c r="A4" s="16" t="s">
        <v>10</v>
      </c>
      <c r="B4" s="16" t="s">
        <v>13</v>
      </c>
      <c r="C4" s="16" t="s">
        <v>14</v>
      </c>
      <c r="D4" s="16" t="s">
        <v>15</v>
      </c>
    </row>
    <row r="5" ht="109.5" customHeight="1">
      <c r="A5" s="17" t="s">
        <v>18</v>
      </c>
      <c r="B5" s="18" t="s">
        <v>20</v>
      </c>
      <c r="C5" s="18" t="s">
        <v>22</v>
      </c>
      <c r="D5" s="18" t="s">
        <v>23</v>
      </c>
    </row>
    <row r="6" ht="109.5" customHeight="1">
      <c r="A6" s="20" t="s">
        <v>24</v>
      </c>
      <c r="B6" s="18" t="s">
        <v>25</v>
      </c>
      <c r="C6" s="18" t="s">
        <v>26</v>
      </c>
      <c r="D6" s="18" t="s">
        <v>27</v>
      </c>
    </row>
    <row r="7" ht="109.5" customHeight="1">
      <c r="A7" s="22" t="s">
        <v>28</v>
      </c>
      <c r="B7" s="18" t="s">
        <v>29</v>
      </c>
      <c r="C7" s="18" t="s">
        <v>30</v>
      </c>
      <c r="D7" s="18" t="s">
        <v>31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2026-05-03T20:01:57Z</dcterms:created>
  <dc:creator>openpyxl</dc:creator>
</cp:coreProperties>
</file>