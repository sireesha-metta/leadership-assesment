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ree\Documents\"/>
    </mc:Choice>
  </mc:AlternateContent>
  <xr:revisionPtr revIDLastSave="0" documentId="13_ncr:1_{1CA67439-F05B-46F0-A582-8057BA4ED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ODUCTION" sheetId="3" r:id="rId1"/>
    <sheet name="Diagnostic" sheetId="1" r:id="rId2"/>
    <sheet name="Scor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22" i="1"/>
  <c r="E21" i="1"/>
  <c r="E20" i="1"/>
  <c r="E19" i="1"/>
  <c r="E16" i="1"/>
  <c r="E15" i="1"/>
  <c r="E14" i="1"/>
  <c r="E13" i="1"/>
  <c r="E10" i="1"/>
  <c r="E8" i="1"/>
  <c r="E7" i="1"/>
  <c r="B2" i="2" l="1"/>
  <c r="B5" i="2" s="1"/>
  <c r="D24" i="1"/>
  <c r="B4" i="2" l="1"/>
  <c r="A25" i="1" s="1"/>
</calcChain>
</file>

<file path=xl/sharedStrings.xml><?xml version="1.0" encoding="utf-8"?>
<sst xmlns="http://schemas.openxmlformats.org/spreadsheetml/2006/main" count="95" uniqueCount="93">
  <si>
    <t>LEAN IN COACHING  ·  Leadership Reset Diagnostic</t>
  </si>
  <si>
    <t>Question</t>
  </si>
  <si>
    <t>Answer options  (select one)</t>
  </si>
  <si>
    <t>Your answer
↓ select below</t>
  </si>
  <si>
    <t>Score
(auto)</t>
  </si>
  <si>
    <t>Weight</t>
  </si>
  <si>
    <t>DECISION MAKING</t>
  </si>
  <si>
    <t>When your team discusses a decision, who typically speaks first?</t>
  </si>
  <si>
    <t>Think of a recent decision where something important emerged after the fact. What do you think stopped it surfacing in the room?</t>
  </si>
  <si>
    <t>How would you describe the pace of decisions in your leadership meetings?</t>
  </si>
  <si>
    <t>Are there people in your team you know have strong views but rarely voice them in meetings?</t>
  </si>
  <si>
    <t>CONVERSATION PATTERNS</t>
  </si>
  <si>
    <t>Who challenges in your leadership meetings?</t>
  </si>
  <si>
    <t>When someone does push back in a discussion, how does the room typically respond?</t>
  </si>
  <si>
    <t>Are there topics in your leadership discussions that feel quietly off-limits — where challenge just doesn't happen?</t>
  </si>
  <si>
    <t>After meetings, do you hear different views from people in the corridor to what was said in the room?</t>
  </si>
  <si>
    <t>LEADER SIGNALS</t>
  </si>
  <si>
    <t>When you signal your own view early in a discussion, what tends to happen?</t>
  </si>
  <si>
    <t>Do you feel you hear from the people with the most relevant knowledge, or those most comfortable speaking?</t>
  </si>
  <si>
    <t>When a discussion goes in circles, what is your instinct?</t>
  </si>
  <si>
    <t>If you could change one thing about how your team makes complex decisions, what would it be?</t>
  </si>
  <si>
    <t>TOTAL WEIGHTED SCORE</t>
  </si>
  <si>
    <t>/ 100</t>
  </si>
  <si>
    <t>SCORING ENGINE  (do not edit this sheet)</t>
  </si>
  <si>
    <t>Answer text</t>
  </si>
  <si>
    <t>Score</t>
  </si>
  <si>
    <t>Q row (Diag)</t>
  </si>
  <si>
    <t>Weighted score (raw)</t>
  </si>
  <si>
    <t>It varies — different people lead depending on the topic</t>
  </si>
  <si>
    <t>Max possible score</t>
  </si>
  <si>
    <t>Usually the most senior person in the room</t>
  </si>
  <si>
    <t>Zone label</t>
  </si>
  <si>
    <t>The same 1–2 people, regardless of topic</t>
  </si>
  <si>
    <t>% of max</t>
  </si>
  <si>
    <t>I'm not sure — I haven't noticed a pattern</t>
  </si>
  <si>
    <t>There wasn't really an opportunity to raise it</t>
  </si>
  <si>
    <t>The person who knew held back — I'm not sure why</t>
  </si>
  <si>
    <t>The discussion closed before all views were heard</t>
  </si>
  <si>
    <t>I don't think that has happened recently</t>
  </si>
  <si>
    <t>We move fast — sometimes too fast</t>
  </si>
  <si>
    <t>We sometimes revisit decisions that should have been settled</t>
  </si>
  <si>
    <t>About right — we close when we need to</t>
  </si>
  <si>
    <t>Decisions often drift without a clear close</t>
  </si>
  <si>
    <t>Yes — several people</t>
  </si>
  <si>
    <t>One or two, yes</t>
  </si>
  <si>
    <t>Not really — people speak up if they have something to say</t>
  </si>
  <si>
    <t>I'm honestly not sure</t>
  </si>
  <si>
    <t>A wide range of people — challenge is distributed</t>
  </si>
  <si>
    <t>Usually the same 1–2 people</t>
  </si>
  <si>
    <t>Rarely anyone — we tend to align fairly quickly</t>
  </si>
  <si>
    <t>It depends on the topic</t>
  </si>
  <si>
    <t>The challenge is taken seriously and explored</t>
  </si>
  <si>
    <t>The original view usually prevails anyway</t>
  </si>
  <si>
    <t>It creates tension — challenge feels uncomfortable</t>
  </si>
  <si>
    <t>Mixed — depends on who's challenging and who's being challenged</t>
  </si>
  <si>
    <t>Yes — a few clear ones</t>
  </si>
  <si>
    <t>Maybe one or two — I haven't thought about it much</t>
  </si>
  <si>
    <t>Not that I'm aware of</t>
  </si>
  <si>
    <t>Possibly, but I'd need to reflect more</t>
  </si>
  <si>
    <t>Yes — fairly regularly</t>
  </si>
  <si>
    <t>Occasionally</t>
  </si>
  <si>
    <t>Rarely or never</t>
  </si>
  <si>
    <t>I'm not sure — it doesn't come to my attention</t>
  </si>
  <si>
    <t>The conversation converges toward my view fairly quickly</t>
  </si>
  <si>
    <t>People still push back and explore alternatives</t>
  </si>
  <si>
    <t>I try not to signal early — I hold back deliberately</t>
  </si>
  <si>
    <t>I'm not sure how the room responds to my signals</t>
  </si>
  <si>
    <t>Mostly the most knowledgeable — they tend to be heard</t>
  </si>
  <si>
    <t>Honestly, more often the most comfortable speakers</t>
  </si>
  <si>
    <t>A mix — it varies by topic</t>
  </si>
  <si>
    <t>I'm not sure I can separate the two</t>
  </si>
  <si>
    <t>I call it — make the decision and move on</t>
  </si>
  <si>
    <t>I try to surface what's blocking the conversation first</t>
  </si>
  <si>
    <t>I ask someone specific to give their view</t>
  </si>
  <si>
    <t>I escalate or defer to a smaller group</t>
  </si>
  <si>
    <t>More people contributing their thinking earlier</t>
  </si>
  <si>
    <t>Faster closure — we over-discuss</t>
  </si>
  <si>
    <t>Better challenge — views go untested</t>
  </si>
  <si>
    <t>More confidence in the room — people hold back</t>
  </si>
  <si>
    <r>
      <t xml:space="preserve">Complete this diagnostic before the Leadership Reset session. Answers are confidential and used only to shape the conversation and observation.
</t>
    </r>
    <r>
      <rPr>
        <b/>
        <i/>
        <sz val="9"/>
        <color rgb="FFE8C97A"/>
        <rFont val="Arial"/>
        <family val="2"/>
      </rPr>
      <t>Return via email to: Lorraine@Leanin-coaching.com</t>
    </r>
  </si>
  <si>
    <t>A. It varies - different people lead depending on the topic
B. Usually the most senior person in the room
C. The same 1–2 people, regardless of topic
D. I'm not sure, I haven't noticed a pattern</t>
  </si>
  <si>
    <t>A. There wasn't really an opportunity to raise it
B. The person who knew held back, I'm not sure why
C. The discussion closed before all views were heard
D. I don't think that has happened recently</t>
  </si>
  <si>
    <t>A. We move fast - sometimes too fast
B. We sometimes revisit decisions that should have been settled
C. About right - we close when we need to
D. Decisions often drift without a clear close</t>
  </si>
  <si>
    <t>A. Yes - several people
B. One or two, yes
C. Not really - people speak up if they have something to say
D. I'm honestly not sure</t>
  </si>
  <si>
    <t>A. A wide range of people - challenge is distributed
B. Usually the same 1–2 people
C. Rarely anyone - we tend to align fairly quickly
D. It depends on the topic</t>
  </si>
  <si>
    <t>A. The challenge is taken seriously and explored
B. The original view usually prevails anyway
C. It creates tension - challenge feels uncomfortable
D. Mixed - depends on who's challenging and who's being challenged</t>
  </si>
  <si>
    <t>A. Yes - a few clear ones
B. Maybe one or two - I haven't thought about it much
C. Not that I'm aware of
D. Possibly, but I'd need to reflect more</t>
  </si>
  <si>
    <t>A. Yes - fairly regularly
B. Occasionally
C. Rarely or never
D. I'm not sure - it doesn't come to my attention</t>
  </si>
  <si>
    <t>A. The conversation converges toward my view fairly quickly
B. People still push back and explore alternatives
C. I try not to signal early - I hold back deliberately
D. I'm not sure how the room responds to my signals</t>
  </si>
  <si>
    <t>A. Mostly the most knowledgeable - they tend to be heard
B. Honestly, more often the most comfortable speakers
C. A mix - it varies by topic
D. I'm not sure I can separate the two</t>
  </si>
  <si>
    <t>A. I call it - make the decision and move on
B. I try to surface what's blocking the conversation first
C. I ask someone specific to give their view
D. I escalate or defer to a smaller group</t>
  </si>
  <si>
    <t>A. More people contributing their thinking earlier
B. Faster closure - we over-discuss
C. Better challenge - views go untested
D. More confidence in the room - people hold back</t>
  </si>
  <si>
    <r>
      <t xml:space="preserve">Welcome to Lean In Coaching - Leadership Reset Diagnostic.
When reading the questions - consider these from your own leadership position, 
when interacting with your leadership team when high stakes conversations require decisions to be made.
Your Actions:
&gt; Navigate to the </t>
    </r>
    <r>
      <rPr>
        <b/>
        <sz val="18"/>
        <rFont val="Aptos"/>
        <family val="2"/>
      </rPr>
      <t>&lt;Diagnostic&gt;</t>
    </r>
    <r>
      <rPr>
        <sz val="18"/>
        <rFont val="Aptos"/>
        <family val="2"/>
      </rPr>
      <t xml:space="preserve"> Tab
Read each question
Input your answer from </t>
    </r>
    <r>
      <rPr>
        <b/>
        <sz val="18"/>
        <rFont val="Aptos"/>
        <family val="2"/>
      </rPr>
      <t>drop-down menu presented in Column D</t>
    </r>
    <r>
      <rPr>
        <sz val="18"/>
        <rFont val="Aptos"/>
        <family val="2"/>
      </rPr>
      <t xml:space="preserve">
</t>
    </r>
    <r>
      <rPr>
        <b/>
        <sz val="18"/>
        <rFont val="Aptos"/>
        <family val="2"/>
      </rPr>
      <t>Once all answers are completed</t>
    </r>
    <r>
      <rPr>
        <sz val="18"/>
        <rFont val="Aptos"/>
        <family val="2"/>
      </rPr>
      <t xml:space="preserve">, </t>
    </r>
    <r>
      <rPr>
        <b/>
        <sz val="18"/>
        <rFont val="Aptos"/>
        <family val="2"/>
      </rPr>
      <t xml:space="preserve">a total score is calculated.
Return this completed diagnostic: 
1. When opened on Google Docs - save back to Google Docs
or
2. Email to: Lorraine@Leanin-Coaching.com
</t>
    </r>
    <r>
      <rPr>
        <sz val="18"/>
        <rFont val="Aptos"/>
        <family val="2"/>
      </rPr>
      <t>This information will be discussed in your next call with Lorraine.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</si>
</sst>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C9A84C"/>
      <name val="Arial"/>
    </font>
    <font>
      <b/>
      <sz val="9"/>
      <color rgb="FFFFFFFF"/>
      <name val="Arial"/>
    </font>
    <font>
      <b/>
      <sz val="9"/>
      <color rgb="FFC9A84C"/>
      <name val="Arial"/>
    </font>
    <font>
      <b/>
      <sz val="10"/>
      <color rgb="FF1A1A1A"/>
      <name val="Arial"/>
    </font>
    <font>
      <sz val="9"/>
      <color rgb="FF1A1A1A"/>
      <name val="Arial"/>
    </font>
    <font>
      <i/>
      <sz val="9"/>
      <color rgb="FFAAAAAA"/>
      <name val="Arial"/>
    </font>
    <font>
      <b/>
      <sz val="10"/>
      <color rgb="FFFFFFFF"/>
      <name val="Arial"/>
    </font>
    <font>
      <b/>
      <sz val="10"/>
      <color rgb="FFE8C97A"/>
      <name val="Arial"/>
    </font>
    <font>
      <b/>
      <sz val="11"/>
      <color rgb="FFC9A84C"/>
      <name val="Arial"/>
    </font>
    <font>
      <sz val="8"/>
      <name val="Arial"/>
    </font>
    <font>
      <b/>
      <sz val="11"/>
      <color rgb="FFC9A84C"/>
      <name val="Arial"/>
    </font>
    <font>
      <b/>
      <sz val="10"/>
      <name val="Arial"/>
    </font>
    <font>
      <b/>
      <sz val="12"/>
      <color rgb="FFC9A84C"/>
      <name val="Arial"/>
    </font>
    <font>
      <b/>
      <i/>
      <sz val="9"/>
      <color rgb="FFE8C97A"/>
      <name val="Arial"/>
      <family val="2"/>
    </font>
    <font>
      <i/>
      <sz val="9"/>
      <color rgb="FFE8C97A"/>
      <name val="Arial"/>
      <family val="2"/>
    </font>
    <font>
      <b/>
      <sz val="14"/>
      <color rgb="FF00B050"/>
      <name val="Arial"/>
      <family val="2"/>
    </font>
    <font>
      <sz val="18"/>
      <name val="Aptos"/>
      <family val="2"/>
    </font>
    <font>
      <b/>
      <sz val="18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DF3DC"/>
      </patternFill>
    </fill>
    <fill>
      <patternFill patternType="solid">
        <fgColor rgb="FFEEEEEE"/>
      </patternFill>
    </fill>
    <fill>
      <patternFill patternType="solid">
        <fgColor rgb="FF1A1A1A"/>
      </patternFill>
    </fill>
    <fill>
      <patternFill patternType="solid">
        <fgColor rgb="FFC8A85B"/>
        <bgColor indexed="64"/>
      </patternFill>
    </fill>
  </fills>
  <borders count="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/>
    <xf numFmtId="0" fontId="4" fillId="3" borderId="0" xfId="0" applyFont="1" applyFill="1"/>
    <xf numFmtId="0" fontId="11" fillId="3" borderId="0" xfId="0" applyFont="1" applyFill="1"/>
    <xf numFmtId="0" fontId="10" fillId="0" borderId="0" xfId="0" applyFont="1"/>
    <xf numFmtId="0" fontId="5" fillId="3" borderId="0" xfId="0" applyFont="1" applyFill="1"/>
    <xf numFmtId="0" fontId="12" fillId="3" borderId="0" xfId="0" applyFont="1" applyFill="1"/>
    <xf numFmtId="9" fontId="5" fillId="3" borderId="0" xfId="0" applyNumberFormat="1" applyFont="1" applyFill="1"/>
    <xf numFmtId="0" fontId="13" fillId="7" borderId="0" xfId="0" applyFont="1" applyFill="1" applyAlignment="1">
      <alignment horizontal="center" vertical="center"/>
    </xf>
    <xf numFmtId="0" fontId="0" fillId="7" borderId="0" xfId="0" applyFill="1"/>
    <xf numFmtId="0" fontId="16" fillId="2" borderId="1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vertical="center"/>
    </xf>
    <xf numFmtId="0" fontId="17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 vertical="center" indent="2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D3CD3"/>
      <color rgb="FF1C1C1C"/>
      <color rgb="FF0095FA"/>
      <color rgb="FFC8A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iagnosti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35</xdr:row>
      <xdr:rowOff>31750</xdr:rowOff>
    </xdr:from>
    <xdr:to>
      <xdr:col>12</xdr:col>
      <xdr:colOff>527050</xdr:colOff>
      <xdr:row>42</xdr:row>
      <xdr:rowOff>69850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0AFAA24-F197-35FA-4AA4-DF464E6648A5}"/>
            </a:ext>
          </a:extLst>
        </xdr:cNvPr>
        <xdr:cNvSpPr/>
      </xdr:nvSpPr>
      <xdr:spPr>
        <a:xfrm>
          <a:off x="5772150" y="6477000"/>
          <a:ext cx="2070100" cy="1327150"/>
        </a:xfrm>
        <a:prstGeom prst="ellipse">
          <a:avLst/>
        </a:prstGeom>
        <a:solidFill>
          <a:srgbClr val="1C1C1C"/>
        </a:solidFill>
        <a:ln>
          <a:solidFill>
            <a:srgbClr val="C8A85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>
            <a:solidFill>
              <a:srgbClr val="CD3CD3"/>
            </a:solidFill>
          </a:endParaRPr>
        </a:p>
        <a:p>
          <a:pPr algn="l"/>
          <a:endParaRPr lang="en-GB" sz="1100" b="1">
            <a:solidFill>
              <a:srgbClr val="CD3CD3"/>
            </a:solidFill>
          </a:endParaRPr>
        </a:p>
        <a:p>
          <a:pPr algn="l"/>
          <a:r>
            <a:rPr lang="en-GB" sz="1100" b="1">
              <a:solidFill>
                <a:srgbClr val="CD3CD3"/>
              </a:solidFill>
            </a:rPr>
            <a:t> </a:t>
          </a:r>
        </a:p>
      </xdr:txBody>
    </xdr:sp>
    <xdr:clientData/>
  </xdr:twoCellAnchor>
  <xdr:twoCellAnchor>
    <xdr:from>
      <xdr:col>9</xdr:col>
      <xdr:colOff>514350</xdr:colOff>
      <xdr:row>37</xdr:row>
      <xdr:rowOff>25400</xdr:rowOff>
    </xdr:from>
    <xdr:to>
      <xdr:col>12</xdr:col>
      <xdr:colOff>254000</xdr:colOff>
      <xdr:row>39</xdr:row>
      <xdr:rowOff>133350</xdr:rowOff>
    </xdr:to>
    <xdr:sp macro="" textlink="">
      <xdr:nvSpPr>
        <xdr:cNvPr id="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EDC27-9552-2386-EFAB-291CFBF94E67}"/>
            </a:ext>
          </a:extLst>
        </xdr:cNvPr>
        <xdr:cNvSpPr txBox="1"/>
      </xdr:nvSpPr>
      <xdr:spPr>
        <a:xfrm>
          <a:off x="6000750" y="6838950"/>
          <a:ext cx="1568450" cy="476250"/>
        </a:xfrm>
        <a:prstGeom prst="rect">
          <a:avLst/>
        </a:prstGeom>
        <a:solidFill>
          <a:srgbClr val="1C1C1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CD3CD3"/>
              </a:solidFill>
            </a:rPr>
            <a:t>CLICK</a:t>
          </a:r>
          <a:r>
            <a:rPr lang="en-GB" sz="1600" b="1" baseline="0">
              <a:solidFill>
                <a:srgbClr val="CD3CD3"/>
              </a:solidFill>
            </a:rPr>
            <a:t> TO START</a:t>
          </a:r>
          <a:endParaRPr lang="en-GB" sz="1600" b="1">
            <a:solidFill>
              <a:srgbClr val="CD3CD3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B7E7-813F-42DE-8A9F-27AC6480610C}">
  <dimension ref="B3:V51"/>
  <sheetViews>
    <sheetView tabSelected="1" topLeftCell="A13" workbookViewId="0">
      <selection activeCell="B3" sqref="B3:V34"/>
    </sheetView>
  </sheetViews>
  <sheetFormatPr defaultRowHeight="14.4" x14ac:dyDescent="0.3"/>
  <sheetData>
    <row r="3" spans="2:22" ht="14.55" customHeight="1" x14ac:dyDescent="0.3">
      <c r="B3" s="20" t="s">
        <v>92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2:22" ht="14.55" customHeight="1" x14ac:dyDescent="0.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2:22" ht="14.55" customHeight="1" x14ac:dyDescent="0.3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2:22" ht="14.55" customHeight="1" x14ac:dyDescent="0.3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2:22" ht="14.55" customHeight="1" x14ac:dyDescent="0.3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2:22" ht="14.55" customHeight="1" x14ac:dyDescent="0.3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2:22" ht="14.55" customHeigh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2:22" ht="14.55" customHeight="1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2:22" ht="14.55" customHeight="1" x14ac:dyDescent="0.3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2:22" ht="14.55" customHeight="1" x14ac:dyDescent="0.3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2:22" ht="14.55" customHeight="1" x14ac:dyDescent="0.3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2:22" ht="14.55" customHeight="1" x14ac:dyDescent="0.3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2:22" ht="14.55" customHeight="1" x14ac:dyDescent="0.3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2:22" ht="14.55" customHeight="1" x14ac:dyDescent="0.3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2:22" ht="14.55" customHeight="1" x14ac:dyDescent="0.3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2:22" ht="14.55" customHeight="1" x14ac:dyDescent="0.3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2:22" ht="14.55" customHeight="1" x14ac:dyDescent="0.3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2:22" ht="14.55" customHeight="1" x14ac:dyDescent="0.3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2:22" ht="14.55" customHeight="1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2:22" ht="14.55" customHeight="1" x14ac:dyDescent="0.3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2:22" ht="14.55" customHeight="1" x14ac:dyDescent="0.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2:22" ht="14.55" customHeight="1" x14ac:dyDescent="0.3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2:22" ht="14.55" customHeight="1" x14ac:dyDescent="0.3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2:22" ht="14.55" customHeight="1" x14ac:dyDescent="0.3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2:22" ht="14.5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2:22" ht="14.55" customHeight="1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2:22" ht="14.55" customHeight="1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2:22" ht="14.55" customHeight="1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2:22" ht="14.55" customHeight="1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2:22" ht="14.55" customHeight="1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2:22" ht="14.55" customHeight="1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2:22" ht="14.55" customHeight="1" x14ac:dyDescent="0.3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2:22" ht="14.55" customHeight="1" x14ac:dyDescent="0.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2:22" ht="14.55" customHeight="1" x14ac:dyDescent="0.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2:22" ht="14.55" customHeight="1" x14ac:dyDescent="0.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2:22" ht="14.55" customHeight="1" x14ac:dyDescent="0.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2:22" ht="14.55" customHeight="1" x14ac:dyDescent="0.3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2:22" ht="14.55" customHeight="1" x14ac:dyDescent="0.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2:22" ht="14.55" customHeight="1" x14ac:dyDescent="0.3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2:22" ht="14.55" customHeight="1" x14ac:dyDescent="0.3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2:22" ht="14.55" customHeight="1" x14ac:dyDescent="0.3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2:22" ht="14.55" customHeight="1" x14ac:dyDescent="0.3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2:22" ht="14.55" customHeight="1" x14ac:dyDescent="0.3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2:22" ht="14.55" customHeight="1" x14ac:dyDescent="0.3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2:22" ht="14.55" customHeight="1" x14ac:dyDescent="0.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2:22" ht="14.55" customHeight="1" x14ac:dyDescent="0.3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2:22" ht="14.55" customHeight="1" x14ac:dyDescent="0.3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2:22" ht="14.55" customHeight="1" x14ac:dyDescent="0.3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2:22" ht="14.55" customHeight="1" x14ac:dyDescent="0.3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</sheetData>
  <mergeCells count="1">
    <mergeCell ref="B3:V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85B"/>
  </sheetPr>
  <dimension ref="A1:F25"/>
  <sheetViews>
    <sheetView showGridLines="0" topLeftCell="A17" workbookViewId="0">
      <selection activeCell="D8" sqref="D8"/>
    </sheetView>
  </sheetViews>
  <sheetFormatPr defaultRowHeight="14.4" x14ac:dyDescent="0.3"/>
  <cols>
    <col min="1" max="1" width="4" customWidth="1"/>
    <col min="2" max="2" width="38" customWidth="1"/>
    <col min="3" max="3" width="44" customWidth="1"/>
    <col min="4" max="4" width="18" customWidth="1"/>
    <col min="5" max="5" width="12" customWidth="1"/>
    <col min="6" max="6" width="10" customWidth="1"/>
  </cols>
  <sheetData>
    <row r="1" spans="1:6" ht="37.950000000000003" customHeight="1" x14ac:dyDescent="0.3">
      <c r="A1" s="25" t="s">
        <v>0</v>
      </c>
      <c r="B1" s="22"/>
      <c r="C1" s="22"/>
      <c r="D1" s="22"/>
      <c r="E1" s="22"/>
      <c r="F1" s="22"/>
    </row>
    <row r="2" spans="1:6" ht="58.95" customHeight="1" x14ac:dyDescent="0.3">
      <c r="A2" s="24" t="s">
        <v>79</v>
      </c>
      <c r="B2" s="22"/>
      <c r="C2" s="22"/>
      <c r="D2" s="22"/>
      <c r="E2" s="22"/>
      <c r="F2" s="22"/>
    </row>
    <row r="3" spans="1:6" ht="7.95" customHeight="1" x14ac:dyDescent="0.3"/>
    <row r="4" spans="1:6" ht="75.45" customHeight="1" x14ac:dyDescent="0.3">
      <c r="A4" s="1"/>
      <c r="B4" s="1" t="s">
        <v>1</v>
      </c>
      <c r="C4" s="1" t="s">
        <v>2</v>
      </c>
      <c r="D4" s="18" t="s">
        <v>3</v>
      </c>
      <c r="E4" s="1" t="s">
        <v>4</v>
      </c>
      <c r="F4" s="1" t="s">
        <v>5</v>
      </c>
    </row>
    <row r="5" spans="1:6" ht="7.95" customHeight="1" x14ac:dyDescent="0.3"/>
    <row r="6" spans="1:6" ht="22.05" customHeight="1" x14ac:dyDescent="0.3">
      <c r="A6" s="26" t="s">
        <v>6</v>
      </c>
      <c r="B6" s="22"/>
      <c r="C6" s="22"/>
      <c r="D6" s="22"/>
      <c r="E6" s="22"/>
      <c r="F6" s="22"/>
    </row>
    <row r="7" spans="1:6" ht="72" customHeight="1" x14ac:dyDescent="0.3">
      <c r="A7" s="2">
        <v>1</v>
      </c>
      <c r="B7" s="3" t="s">
        <v>7</v>
      </c>
      <c r="C7" s="4" t="s">
        <v>80</v>
      </c>
      <c r="D7" s="5" t="s">
        <v>28</v>
      </c>
      <c r="E7" s="6">
        <f>IFERROR(INDEX(Scores!$G$2:$G$5,MATCH(Diagnostic!D7,Scores!$F$2:$F$5,0))*2,"")</f>
        <v>8</v>
      </c>
      <c r="F7" s="7">
        <v>2</v>
      </c>
    </row>
    <row r="8" spans="1:6" ht="72" customHeight="1" x14ac:dyDescent="0.3">
      <c r="A8" s="2">
        <v>2</v>
      </c>
      <c r="B8" s="3" t="s">
        <v>8</v>
      </c>
      <c r="C8" s="4" t="s">
        <v>81</v>
      </c>
      <c r="D8" s="5" t="s">
        <v>36</v>
      </c>
      <c r="E8" s="6">
        <f>IFERROR(INDEX(Scores!$G$6:$G$9,MATCH(Diagnostic!D8,Scores!$F$6:$F$9,0))*2,"")</f>
        <v>4</v>
      </c>
      <c r="F8" s="7">
        <v>2</v>
      </c>
    </row>
    <row r="9" spans="1:6" ht="72" customHeight="1" x14ac:dyDescent="0.3">
      <c r="A9" s="2">
        <v>3</v>
      </c>
      <c r="B9" s="3" t="s">
        <v>9</v>
      </c>
      <c r="C9" s="4" t="s">
        <v>82</v>
      </c>
      <c r="D9" s="5"/>
      <c r="E9" s="6" t="str">
        <f>IFERROR(INDEX(Scores!$G$10:$G$13,MATCH(Diagnostic!D9,Scores!$F$10:$F$13,0))*1,"")</f>
        <v/>
      </c>
      <c r="F9" s="7">
        <v>1</v>
      </c>
    </row>
    <row r="10" spans="1:6" ht="72" customHeight="1" x14ac:dyDescent="0.3">
      <c r="A10" s="2">
        <v>4</v>
      </c>
      <c r="B10" s="3" t="s">
        <v>10</v>
      </c>
      <c r="C10" s="4" t="s">
        <v>83</v>
      </c>
      <c r="D10" s="5"/>
      <c r="E10" s="6" t="str">
        <f>IFERROR(INDEX(Scores!$G$14:$G$17,MATCH(Diagnostic!D10,Scores!$F$14:$F$17,0))*2,"")</f>
        <v/>
      </c>
      <c r="F10" s="7">
        <v>2</v>
      </c>
    </row>
    <row r="11" spans="1:6" ht="7.95" customHeight="1" x14ac:dyDescent="0.3"/>
    <row r="12" spans="1:6" ht="22.05" customHeight="1" x14ac:dyDescent="0.3">
      <c r="A12" s="26" t="s">
        <v>11</v>
      </c>
      <c r="B12" s="22"/>
      <c r="C12" s="22"/>
      <c r="D12" s="22"/>
      <c r="E12" s="22"/>
      <c r="F12" s="22"/>
    </row>
    <row r="13" spans="1:6" ht="72" customHeight="1" x14ac:dyDescent="0.3">
      <c r="A13" s="2">
        <v>5</v>
      </c>
      <c r="B13" s="3" t="s">
        <v>12</v>
      </c>
      <c r="C13" s="4" t="s">
        <v>84</v>
      </c>
      <c r="D13" s="5"/>
      <c r="E13" s="6" t="str">
        <f>IFERROR(INDEX(Scores!$G$18:$G$21,MATCH(Diagnostic!D13,Scores!$F$18:$F$21,0))*2,"")</f>
        <v/>
      </c>
      <c r="F13" s="7">
        <v>2</v>
      </c>
    </row>
    <row r="14" spans="1:6" ht="72" customHeight="1" x14ac:dyDescent="0.3">
      <c r="A14" s="2">
        <v>6</v>
      </c>
      <c r="B14" s="3" t="s">
        <v>13</v>
      </c>
      <c r="C14" s="4" t="s">
        <v>85</v>
      </c>
      <c r="D14" s="5"/>
      <c r="E14" s="6" t="str">
        <f>IFERROR(INDEX(Scores!$G$22:$G$25,MATCH(Diagnostic!D14,Scores!$F$22:$F$25,0))*2,"")</f>
        <v/>
      </c>
      <c r="F14" s="7">
        <v>2</v>
      </c>
    </row>
    <row r="15" spans="1:6" ht="72" customHeight="1" x14ac:dyDescent="0.3">
      <c r="A15" s="2">
        <v>7</v>
      </c>
      <c r="B15" s="3" t="s">
        <v>14</v>
      </c>
      <c r="C15" s="4" t="s">
        <v>86</v>
      </c>
      <c r="D15" s="5"/>
      <c r="E15" s="6" t="str">
        <f>IFERROR(INDEX(Scores!$G$26:$G$29,MATCH(Diagnostic!D15,Scores!$F$26:$F$29,0))*1,"")</f>
        <v/>
      </c>
      <c r="F15" s="7">
        <v>1</v>
      </c>
    </row>
    <row r="16" spans="1:6" ht="72" customHeight="1" x14ac:dyDescent="0.3">
      <c r="A16" s="2">
        <v>8</v>
      </c>
      <c r="B16" s="3" t="s">
        <v>15</v>
      </c>
      <c r="C16" s="4" t="s">
        <v>87</v>
      </c>
      <c r="D16" s="5"/>
      <c r="E16" s="6" t="str">
        <f>IFERROR(INDEX(Scores!$G$30:$G$33,MATCH(Diagnostic!D16,Scores!$F$30:$F$33,0))*2,"")</f>
        <v/>
      </c>
      <c r="F16" s="7">
        <v>2</v>
      </c>
    </row>
    <row r="17" spans="1:6" ht="7.95" customHeight="1" x14ac:dyDescent="0.3"/>
    <row r="18" spans="1:6" ht="22.05" customHeight="1" x14ac:dyDescent="0.3">
      <c r="A18" s="26" t="s">
        <v>16</v>
      </c>
      <c r="B18" s="22"/>
      <c r="C18" s="22"/>
      <c r="D18" s="22"/>
      <c r="E18" s="22"/>
      <c r="F18" s="22"/>
    </row>
    <row r="19" spans="1:6" ht="72" customHeight="1" x14ac:dyDescent="0.3">
      <c r="A19" s="2">
        <v>9</v>
      </c>
      <c r="B19" s="3" t="s">
        <v>17</v>
      </c>
      <c r="C19" s="4" t="s">
        <v>88</v>
      </c>
      <c r="D19" s="5"/>
      <c r="E19" s="6" t="str">
        <f>IFERROR(INDEX(Scores!$G$34:$G$37,MATCH(Diagnostic!D19,Scores!$F$34:$F$37,0))*3,"")</f>
        <v/>
      </c>
      <c r="F19" s="7">
        <v>3</v>
      </c>
    </row>
    <row r="20" spans="1:6" ht="72" customHeight="1" x14ac:dyDescent="0.3">
      <c r="A20" s="2">
        <v>10</v>
      </c>
      <c r="B20" s="3" t="s">
        <v>18</v>
      </c>
      <c r="C20" s="4" t="s">
        <v>89</v>
      </c>
      <c r="D20" s="5"/>
      <c r="E20" s="6" t="str">
        <f>IFERROR(INDEX(Scores!$G$38:$G$41,MATCH(Diagnostic!D20,Scores!$F$38:$F$41,0))*3,"")</f>
        <v/>
      </c>
      <c r="F20" s="7">
        <v>3</v>
      </c>
    </row>
    <row r="21" spans="1:6" ht="72" customHeight="1" x14ac:dyDescent="0.3">
      <c r="A21" s="2">
        <v>11</v>
      </c>
      <c r="B21" s="3" t="s">
        <v>19</v>
      </c>
      <c r="C21" s="4" t="s">
        <v>90</v>
      </c>
      <c r="D21" s="5"/>
      <c r="E21" s="6" t="str">
        <f>IFERROR(INDEX(Scores!$G$42:$G$45,MATCH(Diagnostic!D21,Scores!$F$42:$F$45,0))*2,"")</f>
        <v/>
      </c>
      <c r="F21" s="7">
        <v>2</v>
      </c>
    </row>
    <row r="22" spans="1:6" ht="72" customHeight="1" x14ac:dyDescent="0.3">
      <c r="A22" s="2">
        <v>12</v>
      </c>
      <c r="B22" s="3" t="s">
        <v>20</v>
      </c>
      <c r="C22" s="4" t="s">
        <v>91</v>
      </c>
      <c r="D22" s="5"/>
      <c r="E22" s="6" t="str">
        <f>IFERROR(INDEX(Scores!$G$46:$G$49,MATCH(Diagnostic!D22,Scores!$F$46:$F$49,0))*1,"")</f>
        <v/>
      </c>
      <c r="F22" s="7">
        <v>1</v>
      </c>
    </row>
    <row r="23" spans="1:6" ht="10.050000000000001" customHeight="1" x14ac:dyDescent="0.3"/>
    <row r="24" spans="1:6" ht="28.05" customHeight="1" x14ac:dyDescent="0.3">
      <c r="A24" s="21" t="s">
        <v>21</v>
      </c>
      <c r="B24" s="22"/>
      <c r="C24" s="22"/>
      <c r="D24" s="16" t="e">
        <f>IFERROR(E7,0)+IFERROR(E8,0)+IFERROR(E9,0)+IFERROR(E10,0)+IFERROR(E13,0)+IFERROR(E14,0)+IFERROR(E15,0)+IFERROR(E16,0)+IFERROR(E19,0)+IFERROR(E20,0)+IFERROR(E21,0)+IFERROR(E22,0)</f>
        <v>#VALUE!</v>
      </c>
      <c r="E24" s="17"/>
      <c r="F24" s="8" t="s">
        <v>22</v>
      </c>
    </row>
    <row r="25" spans="1:6" ht="28.05" customHeight="1" x14ac:dyDescent="0.3">
      <c r="A25" s="23" t="e">
        <f>Scores!B4</f>
        <v>#VALUE!</v>
      </c>
      <c r="B25" s="22"/>
      <c r="C25" s="22"/>
      <c r="D25" s="22"/>
      <c r="E25" s="22"/>
      <c r="F25" s="22"/>
    </row>
  </sheetData>
  <mergeCells count="7">
    <mergeCell ref="A24:C24"/>
    <mergeCell ref="A25:F25"/>
    <mergeCell ref="A2:F2"/>
    <mergeCell ref="A1:F1"/>
    <mergeCell ref="A6:F6"/>
    <mergeCell ref="A12:F12"/>
    <mergeCell ref="A18:F18"/>
  </mergeCell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errorTitle="Invalid entry" error="Please select one of the listed options" promptTitle="Your answer" prompt="Select your answer from the dropdown" xr:uid="{00000000-0002-0000-0000-000000000000}">
          <x14:formula1>
            <xm:f>Scores!$F$2:$F$5</xm:f>
          </x14:formula1>
          <xm:sqref>D7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1000000}">
          <x14:formula1>
            <xm:f>Scores!$F$6:$F$9</xm:f>
          </x14:formula1>
          <xm:sqref>D8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2000000}">
          <x14:formula1>
            <xm:f>Scores!$F$10:$F$13</xm:f>
          </x14:formula1>
          <xm:sqref>D9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3000000}">
          <x14:formula1>
            <xm:f>Scores!$F$14:$F$17</xm:f>
          </x14:formula1>
          <xm:sqref>D10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4000000}">
          <x14:formula1>
            <xm:f>Scores!$F$18:$F$21</xm:f>
          </x14:formula1>
          <xm:sqref>D13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5000000}">
          <x14:formula1>
            <xm:f>Scores!$F$22:$F$25</xm:f>
          </x14:formula1>
          <xm:sqref>D14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6000000}">
          <x14:formula1>
            <xm:f>Scores!$F$26:$F$29</xm:f>
          </x14:formula1>
          <xm:sqref>D15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7000000}">
          <x14:formula1>
            <xm:f>Scores!$F$30:$F$33</xm:f>
          </x14:formula1>
          <xm:sqref>D16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8000000}">
          <x14:formula1>
            <xm:f>Scores!$F$34:$F$37</xm:f>
          </x14:formula1>
          <xm:sqref>D19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9000000}">
          <x14:formula1>
            <xm:f>Scores!$F$38:$F$41</xm:f>
          </x14:formula1>
          <xm:sqref>D20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A000000}">
          <x14:formula1>
            <xm:f>Scores!$F$42:$F$45</xm:f>
          </x14:formula1>
          <xm:sqref>D21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B000000}">
          <x14:formula1>
            <xm:f>Scores!$F$46:$F$49</xm:f>
          </x14:formula1>
          <xm:sqref>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workbookViewId="0">
      <selection sqref="A1:D1"/>
    </sheetView>
  </sheetViews>
  <sheetFormatPr defaultRowHeight="14.4" x14ac:dyDescent="0.3"/>
  <cols>
    <col min="1" max="1" width="32" customWidth="1"/>
    <col min="2" max="2" width="16" customWidth="1"/>
    <col min="3" max="3" width="22" customWidth="1"/>
    <col min="4" max="4" width="40" customWidth="1"/>
  </cols>
  <sheetData>
    <row r="1" spans="1:8" ht="30" customHeight="1" x14ac:dyDescent="0.3">
      <c r="A1" s="27" t="s">
        <v>23</v>
      </c>
      <c r="B1" s="22"/>
      <c r="C1" s="22"/>
      <c r="D1" s="22"/>
      <c r="F1" s="9" t="s">
        <v>24</v>
      </c>
      <c r="G1" s="9" t="s">
        <v>25</v>
      </c>
      <c r="H1" s="9" t="s">
        <v>26</v>
      </c>
    </row>
    <row r="2" spans="1:8" x14ac:dyDescent="0.3">
      <c r="A2" s="10" t="s">
        <v>27</v>
      </c>
      <c r="B2" s="11" t="e">
        <f>IFERROR(Diagnostic!E7,0)+IFERROR(Diagnostic!E8,0)+IFERROR(Diagnostic!E9,0)+IFERROR(Diagnostic!E10,0)+IFERROR(Diagnostic!E13,0)+IFERROR(Diagnostic!E14,0)+IFERROR(Diagnostic!E15,0)+IFERROR(Diagnostic!E16,0)+IFERROR(Diagnostic!E19,0)+IFERROR(Diagnostic!E20,0)+IFERROR(Diagnostic!E21,0)+IFERROR(Diagnostic!E22,0)</f>
        <v>#VALUE!</v>
      </c>
      <c r="F2" s="12" t="s">
        <v>28</v>
      </c>
      <c r="G2" s="12">
        <v>4</v>
      </c>
      <c r="H2" s="12">
        <v>7</v>
      </c>
    </row>
    <row r="3" spans="1:8" x14ac:dyDescent="0.3">
      <c r="A3" s="13" t="s">
        <v>29</v>
      </c>
      <c r="B3" s="13">
        <v>91</v>
      </c>
      <c r="F3" s="12" t="s">
        <v>30</v>
      </c>
      <c r="G3" s="12">
        <v>2</v>
      </c>
      <c r="H3" s="12">
        <v>7</v>
      </c>
    </row>
    <row r="4" spans="1:8" x14ac:dyDescent="0.3">
      <c r="A4" s="10" t="s">
        <v>31</v>
      </c>
      <c r="B4" s="14" t="e">
        <f>IF(B2="","—",IF(B2/91&gt;=0.75,"Green — Strong foundation",IF(B2/91&gt;=0.5,"Amber — Patterns worth exploring","Red — Significant blind spots present")))</f>
        <v>#VALUE!</v>
      </c>
      <c r="F4" s="12" t="s">
        <v>32</v>
      </c>
      <c r="G4" s="12">
        <v>1</v>
      </c>
      <c r="H4" s="12">
        <v>7</v>
      </c>
    </row>
    <row r="5" spans="1:8" x14ac:dyDescent="0.3">
      <c r="A5" s="13" t="s">
        <v>33</v>
      </c>
      <c r="B5" s="15" t="str">
        <f>IFERROR(B2/91,"")</f>
        <v/>
      </c>
      <c r="F5" s="12" t="s">
        <v>34</v>
      </c>
      <c r="G5" s="12">
        <v>3</v>
      </c>
      <c r="H5" s="12">
        <v>7</v>
      </c>
    </row>
    <row r="6" spans="1:8" x14ac:dyDescent="0.3">
      <c r="F6" s="12" t="s">
        <v>35</v>
      </c>
      <c r="G6" s="12">
        <v>1</v>
      </c>
      <c r="H6" s="12">
        <v>8</v>
      </c>
    </row>
    <row r="7" spans="1:8" x14ac:dyDescent="0.3">
      <c r="F7" s="12" t="s">
        <v>36</v>
      </c>
      <c r="G7" s="12">
        <v>2</v>
      </c>
      <c r="H7" s="12">
        <v>8</v>
      </c>
    </row>
    <row r="8" spans="1:8" x14ac:dyDescent="0.3">
      <c r="F8" s="12" t="s">
        <v>37</v>
      </c>
      <c r="G8" s="12">
        <v>2</v>
      </c>
      <c r="H8" s="12">
        <v>8</v>
      </c>
    </row>
    <row r="9" spans="1:8" x14ac:dyDescent="0.3">
      <c r="F9" s="12" t="s">
        <v>38</v>
      </c>
      <c r="G9" s="12">
        <v>4</v>
      </c>
      <c r="H9" s="12">
        <v>8</v>
      </c>
    </row>
    <row r="10" spans="1:8" x14ac:dyDescent="0.3">
      <c r="F10" s="12" t="s">
        <v>39</v>
      </c>
      <c r="G10" s="12">
        <v>1</v>
      </c>
      <c r="H10" s="12">
        <v>9</v>
      </c>
    </row>
    <row r="11" spans="1:8" x14ac:dyDescent="0.3">
      <c r="F11" s="12" t="s">
        <v>40</v>
      </c>
      <c r="G11" s="12">
        <v>2</v>
      </c>
      <c r="H11" s="12">
        <v>9</v>
      </c>
    </row>
    <row r="12" spans="1:8" x14ac:dyDescent="0.3">
      <c r="F12" s="12" t="s">
        <v>41</v>
      </c>
      <c r="G12" s="12">
        <v>4</v>
      </c>
      <c r="H12" s="12">
        <v>9</v>
      </c>
    </row>
    <row r="13" spans="1:8" x14ac:dyDescent="0.3">
      <c r="F13" s="12" t="s">
        <v>42</v>
      </c>
      <c r="G13" s="12">
        <v>2</v>
      </c>
      <c r="H13" s="12">
        <v>9</v>
      </c>
    </row>
    <row r="14" spans="1:8" x14ac:dyDescent="0.3">
      <c r="F14" s="12" t="s">
        <v>43</v>
      </c>
      <c r="G14" s="12">
        <v>1</v>
      </c>
      <c r="H14" s="12">
        <v>10</v>
      </c>
    </row>
    <row r="15" spans="1:8" x14ac:dyDescent="0.3">
      <c r="F15" s="12" t="s">
        <v>44</v>
      </c>
      <c r="G15" s="12">
        <v>2</v>
      </c>
      <c r="H15" s="12">
        <v>10</v>
      </c>
    </row>
    <row r="16" spans="1:8" x14ac:dyDescent="0.3">
      <c r="F16" s="12" t="s">
        <v>45</v>
      </c>
      <c r="G16" s="12">
        <v>4</v>
      </c>
      <c r="H16" s="12">
        <v>10</v>
      </c>
    </row>
    <row r="17" spans="6:8" x14ac:dyDescent="0.3">
      <c r="F17" s="12" t="s">
        <v>46</v>
      </c>
      <c r="G17" s="12">
        <v>2</v>
      </c>
      <c r="H17" s="12">
        <v>10</v>
      </c>
    </row>
    <row r="18" spans="6:8" x14ac:dyDescent="0.3">
      <c r="F18" s="12" t="s">
        <v>47</v>
      </c>
      <c r="G18" s="12">
        <v>4</v>
      </c>
      <c r="H18" s="12">
        <v>13</v>
      </c>
    </row>
    <row r="19" spans="6:8" x14ac:dyDescent="0.3">
      <c r="F19" s="12" t="s">
        <v>48</v>
      </c>
      <c r="G19" s="12">
        <v>1</v>
      </c>
      <c r="H19" s="12">
        <v>13</v>
      </c>
    </row>
    <row r="20" spans="6:8" x14ac:dyDescent="0.3">
      <c r="F20" s="12" t="s">
        <v>49</v>
      </c>
      <c r="G20" s="12">
        <v>1</v>
      </c>
      <c r="H20" s="12">
        <v>13</v>
      </c>
    </row>
    <row r="21" spans="6:8" x14ac:dyDescent="0.3">
      <c r="F21" s="12" t="s">
        <v>50</v>
      </c>
      <c r="G21" s="12">
        <v>3</v>
      </c>
      <c r="H21" s="12">
        <v>13</v>
      </c>
    </row>
    <row r="22" spans="6:8" x14ac:dyDescent="0.3">
      <c r="F22" s="12" t="s">
        <v>51</v>
      </c>
      <c r="G22" s="12">
        <v>4</v>
      </c>
      <c r="H22" s="12">
        <v>14</v>
      </c>
    </row>
    <row r="23" spans="6:8" x14ac:dyDescent="0.3">
      <c r="F23" s="12" t="s">
        <v>52</v>
      </c>
      <c r="G23" s="12">
        <v>1</v>
      </c>
      <c r="H23" s="12">
        <v>14</v>
      </c>
    </row>
    <row r="24" spans="6:8" x14ac:dyDescent="0.3">
      <c r="F24" s="12" t="s">
        <v>53</v>
      </c>
      <c r="G24" s="12">
        <v>1</v>
      </c>
      <c r="H24" s="12">
        <v>14</v>
      </c>
    </row>
    <row r="25" spans="6:8" x14ac:dyDescent="0.3">
      <c r="F25" s="12" t="s">
        <v>54</v>
      </c>
      <c r="G25" s="12">
        <v>2</v>
      </c>
      <c r="H25" s="12">
        <v>14</v>
      </c>
    </row>
    <row r="26" spans="6:8" x14ac:dyDescent="0.3">
      <c r="F26" s="12" t="s">
        <v>55</v>
      </c>
      <c r="G26" s="12">
        <v>1</v>
      </c>
      <c r="H26" s="12">
        <v>15</v>
      </c>
    </row>
    <row r="27" spans="6:8" x14ac:dyDescent="0.3">
      <c r="F27" s="12" t="s">
        <v>56</v>
      </c>
      <c r="G27" s="12">
        <v>2</v>
      </c>
      <c r="H27" s="12">
        <v>15</v>
      </c>
    </row>
    <row r="28" spans="6:8" x14ac:dyDescent="0.3">
      <c r="F28" s="12" t="s">
        <v>57</v>
      </c>
      <c r="G28" s="12">
        <v>4</v>
      </c>
      <c r="H28" s="12">
        <v>15</v>
      </c>
    </row>
    <row r="29" spans="6:8" x14ac:dyDescent="0.3">
      <c r="F29" s="12" t="s">
        <v>58</v>
      </c>
      <c r="G29" s="12">
        <v>2</v>
      </c>
      <c r="H29" s="12">
        <v>15</v>
      </c>
    </row>
    <row r="30" spans="6:8" x14ac:dyDescent="0.3">
      <c r="F30" s="12" t="s">
        <v>59</v>
      </c>
      <c r="G30" s="12">
        <v>1</v>
      </c>
      <c r="H30" s="12">
        <v>16</v>
      </c>
    </row>
    <row r="31" spans="6:8" x14ac:dyDescent="0.3">
      <c r="F31" s="12" t="s">
        <v>60</v>
      </c>
      <c r="G31" s="12">
        <v>2</v>
      </c>
      <c r="H31" s="12">
        <v>16</v>
      </c>
    </row>
    <row r="32" spans="6:8" x14ac:dyDescent="0.3">
      <c r="F32" s="12" t="s">
        <v>61</v>
      </c>
      <c r="G32" s="12">
        <v>4</v>
      </c>
      <c r="H32" s="12">
        <v>16</v>
      </c>
    </row>
    <row r="33" spans="6:8" x14ac:dyDescent="0.3">
      <c r="F33" s="12" t="s">
        <v>62</v>
      </c>
      <c r="G33" s="12">
        <v>2</v>
      </c>
      <c r="H33" s="12">
        <v>16</v>
      </c>
    </row>
    <row r="34" spans="6:8" x14ac:dyDescent="0.3">
      <c r="F34" s="12" t="s">
        <v>63</v>
      </c>
      <c r="G34" s="12">
        <v>1</v>
      </c>
      <c r="H34" s="12">
        <v>19</v>
      </c>
    </row>
    <row r="35" spans="6:8" x14ac:dyDescent="0.3">
      <c r="F35" s="12" t="s">
        <v>64</v>
      </c>
      <c r="G35" s="12">
        <v>4</v>
      </c>
      <c r="H35" s="12">
        <v>19</v>
      </c>
    </row>
    <row r="36" spans="6:8" x14ac:dyDescent="0.3">
      <c r="F36" s="12" t="s">
        <v>65</v>
      </c>
      <c r="G36" s="12">
        <v>4</v>
      </c>
      <c r="H36" s="12">
        <v>19</v>
      </c>
    </row>
    <row r="37" spans="6:8" x14ac:dyDescent="0.3">
      <c r="F37" s="12" t="s">
        <v>66</v>
      </c>
      <c r="G37" s="12">
        <v>2</v>
      </c>
      <c r="H37" s="12">
        <v>19</v>
      </c>
    </row>
    <row r="38" spans="6:8" x14ac:dyDescent="0.3">
      <c r="F38" s="12" t="s">
        <v>67</v>
      </c>
      <c r="G38" s="12">
        <v>4</v>
      </c>
      <c r="H38" s="12">
        <v>20</v>
      </c>
    </row>
    <row r="39" spans="6:8" x14ac:dyDescent="0.3">
      <c r="F39" s="12" t="s">
        <v>68</v>
      </c>
      <c r="G39" s="12">
        <v>1</v>
      </c>
      <c r="H39" s="12">
        <v>20</v>
      </c>
    </row>
    <row r="40" spans="6:8" x14ac:dyDescent="0.3">
      <c r="F40" s="12" t="s">
        <v>69</v>
      </c>
      <c r="G40" s="12">
        <v>3</v>
      </c>
      <c r="H40" s="12">
        <v>20</v>
      </c>
    </row>
    <row r="41" spans="6:8" x14ac:dyDescent="0.3">
      <c r="F41" s="12" t="s">
        <v>70</v>
      </c>
      <c r="G41" s="12">
        <v>2</v>
      </c>
      <c r="H41" s="12">
        <v>20</v>
      </c>
    </row>
    <row r="42" spans="6:8" x14ac:dyDescent="0.3">
      <c r="F42" s="12" t="s">
        <v>71</v>
      </c>
      <c r="G42" s="12">
        <v>2</v>
      </c>
      <c r="H42" s="12">
        <v>21</v>
      </c>
    </row>
    <row r="43" spans="6:8" x14ac:dyDescent="0.3">
      <c r="F43" s="12" t="s">
        <v>72</v>
      </c>
      <c r="G43" s="12">
        <v>4</v>
      </c>
      <c r="H43" s="12">
        <v>21</v>
      </c>
    </row>
    <row r="44" spans="6:8" x14ac:dyDescent="0.3">
      <c r="F44" s="12" t="s">
        <v>73</v>
      </c>
      <c r="G44" s="12">
        <v>3</v>
      </c>
      <c r="H44" s="12">
        <v>21</v>
      </c>
    </row>
    <row r="45" spans="6:8" x14ac:dyDescent="0.3">
      <c r="F45" s="12" t="s">
        <v>74</v>
      </c>
      <c r="G45" s="12">
        <v>1</v>
      </c>
      <c r="H45" s="12">
        <v>21</v>
      </c>
    </row>
    <row r="46" spans="6:8" x14ac:dyDescent="0.3">
      <c r="F46" s="12" t="s">
        <v>75</v>
      </c>
      <c r="G46" s="12">
        <v>3</v>
      </c>
      <c r="H46" s="12">
        <v>22</v>
      </c>
    </row>
    <row r="47" spans="6:8" x14ac:dyDescent="0.3">
      <c r="F47" s="12" t="s">
        <v>76</v>
      </c>
      <c r="G47" s="12">
        <v>2</v>
      </c>
      <c r="H47" s="12">
        <v>22</v>
      </c>
    </row>
    <row r="48" spans="6:8" x14ac:dyDescent="0.3">
      <c r="F48" s="12" t="s">
        <v>77</v>
      </c>
      <c r="G48" s="12">
        <v>3</v>
      </c>
      <c r="H48" s="12">
        <v>22</v>
      </c>
    </row>
    <row r="49" spans="6:8" x14ac:dyDescent="0.3">
      <c r="F49" s="12" t="s">
        <v>78</v>
      </c>
      <c r="G49" s="12">
        <v>3</v>
      </c>
      <c r="H49" s="12">
        <v>22</v>
      </c>
    </row>
  </sheetData>
  <sheetProtection algorithmName="SHA-512" hashValue="Zdq5mmzDx4fMwjzMeWhZOMALBVJg7k8tM54ltBMbzQbizNQzihRZYUyUBIljLolq/ElvsrXd57L/5FtSw8noEg==" saltValue="7Meu+wyyXDWzOZ/SYKkstg==" spinCount="100000" sheet="1" objects="1" scenarios="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Diagnostic</vt:lpstr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sireesha metta</cp:lastModifiedBy>
  <dcterms:created xsi:type="dcterms:W3CDTF">2026-05-03T20:01:57Z</dcterms:created>
  <dcterms:modified xsi:type="dcterms:W3CDTF">2026-06-19T04:55:10Z</dcterms:modified>
</cp:coreProperties>
</file>